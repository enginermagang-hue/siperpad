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KANTOR\lap pad\"/>
    </mc:Choice>
  </mc:AlternateContent>
  <xr:revisionPtr revIDLastSave="0" documentId="13_ncr:1_{0DB7CB29-C1DF-4A4B-B0AA-A72B8E1BFD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ustus 2026" sheetId="1" r:id="rId1"/>
    <sheet name="21 September 2026" sheetId="2" r:id="rId2"/>
    <sheet name="Perbandingan Agt vs Sept" sheetId="3" r:id="rId3"/>
  </sheets>
  <definedNames>
    <definedName name="_xlnm.Print_Area" localSheetId="2">'Perbandingan Agt vs Sept'!$A$1:$J$121</definedName>
    <definedName name="_xlnm.Print_Titles" localSheetId="1">'21 September 2026'!$6:$7</definedName>
    <definedName name="_xlnm.Print_Titles" localSheetId="0">'Agustus 2026'!$6:$7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4" i="3" l="1"/>
  <c r="G44" i="3"/>
  <c r="F44" i="3"/>
  <c r="J43" i="3"/>
  <c r="G43" i="3"/>
  <c r="F43" i="3"/>
  <c r="J42" i="3"/>
  <c r="G42" i="3"/>
  <c r="F42" i="3"/>
  <c r="J41" i="3"/>
  <c r="G41" i="3"/>
  <c r="F41" i="3"/>
  <c r="J40" i="3"/>
  <c r="G40" i="3"/>
  <c r="F40" i="3"/>
  <c r="J39" i="3"/>
  <c r="G39" i="3"/>
  <c r="F39" i="3"/>
  <c r="J38" i="3"/>
  <c r="G38" i="3"/>
  <c r="F38" i="3"/>
  <c r="J37" i="3"/>
  <c r="G37" i="3"/>
  <c r="F37" i="3"/>
  <c r="J36" i="3"/>
  <c r="G36" i="3"/>
  <c r="F36" i="3"/>
  <c r="J35" i="3"/>
  <c r="G35" i="3"/>
  <c r="F35" i="3"/>
  <c r="J34" i="3"/>
  <c r="G34" i="3"/>
  <c r="F34" i="3"/>
  <c r="J33" i="3"/>
  <c r="G33" i="3"/>
  <c r="F33" i="3"/>
  <c r="J32" i="3"/>
  <c r="G32" i="3"/>
  <c r="F32" i="3"/>
  <c r="J31" i="3"/>
  <c r="G31" i="3"/>
  <c r="F31" i="3"/>
  <c r="J28" i="3"/>
  <c r="G28" i="3"/>
  <c r="F28" i="3"/>
  <c r="J27" i="3"/>
  <c r="G27" i="3"/>
  <c r="F27" i="3"/>
  <c r="J26" i="3"/>
  <c r="G26" i="3"/>
  <c r="F26" i="3"/>
  <c r="J25" i="3"/>
  <c r="G25" i="3"/>
  <c r="F25" i="3"/>
  <c r="J24" i="3"/>
  <c r="G24" i="3"/>
  <c r="F24" i="3"/>
  <c r="J23" i="3"/>
  <c r="G23" i="3"/>
  <c r="F23" i="3"/>
  <c r="J22" i="3"/>
  <c r="G22" i="3"/>
  <c r="F22" i="3"/>
  <c r="J21" i="3"/>
  <c r="G21" i="3"/>
  <c r="F21" i="3"/>
  <c r="J20" i="3"/>
  <c r="G20" i="3"/>
  <c r="F20" i="3"/>
  <c r="J19" i="3"/>
  <c r="G19" i="3"/>
  <c r="F19" i="3"/>
  <c r="J18" i="3"/>
  <c r="G18" i="3"/>
  <c r="F18" i="3"/>
  <c r="J17" i="3"/>
  <c r="G17" i="3"/>
  <c r="F17" i="3"/>
  <c r="J16" i="3"/>
  <c r="G16" i="3"/>
  <c r="F16" i="3"/>
  <c r="J15" i="3"/>
  <c r="G15" i="3"/>
  <c r="F15" i="3"/>
  <c r="J13" i="3"/>
  <c r="G13" i="3"/>
  <c r="F13" i="3"/>
  <c r="J12" i="3"/>
  <c r="G12" i="3"/>
  <c r="F12" i="3"/>
  <c r="J11" i="3"/>
  <c r="G11" i="3"/>
  <c r="F11" i="3"/>
  <c r="J10" i="3"/>
  <c r="G10" i="3"/>
  <c r="F10" i="3"/>
  <c r="J9" i="3"/>
  <c r="G9" i="3"/>
  <c r="F9" i="3"/>
  <c r="J8" i="3"/>
  <c r="G8" i="3"/>
  <c r="F8" i="3"/>
  <c r="I44" i="2"/>
  <c r="J44" i="2" s="1"/>
  <c r="K44" i="2" s="1"/>
  <c r="K43" i="2"/>
  <c r="I43" i="2"/>
  <c r="J43" i="2" s="1"/>
  <c r="K42" i="2"/>
  <c r="I42" i="2"/>
  <c r="J42" i="2" s="1"/>
  <c r="I41" i="2"/>
  <c r="J41" i="2" s="1"/>
  <c r="K41" i="2" s="1"/>
  <c r="I40" i="2"/>
  <c r="J40" i="2" s="1"/>
  <c r="K40" i="2" s="1"/>
  <c r="I39" i="2"/>
  <c r="J39" i="2" s="1"/>
  <c r="K39" i="2" s="1"/>
  <c r="I38" i="2"/>
  <c r="J38" i="2" s="1"/>
  <c r="K38" i="2" s="1"/>
  <c r="I37" i="2"/>
  <c r="J37" i="2" s="1"/>
  <c r="K37" i="2" s="1"/>
  <c r="I36" i="2"/>
  <c r="J36" i="2" s="1"/>
  <c r="K36" i="2" s="1"/>
  <c r="K35" i="2"/>
  <c r="I35" i="2"/>
  <c r="J35" i="2" s="1"/>
  <c r="I34" i="2"/>
  <c r="J34" i="2" s="1"/>
  <c r="K34" i="2" s="1"/>
  <c r="K33" i="2"/>
  <c r="J33" i="2"/>
  <c r="I33" i="2"/>
  <c r="I32" i="2"/>
  <c r="J32" i="2" s="1"/>
  <c r="K32" i="2" s="1"/>
  <c r="I31" i="2"/>
  <c r="J31" i="2" s="1"/>
  <c r="K31" i="2" s="1"/>
  <c r="I28" i="2"/>
  <c r="J28" i="2" s="1"/>
  <c r="K28" i="2" s="1"/>
  <c r="I27" i="2"/>
  <c r="J27" i="2" s="1"/>
  <c r="K27" i="2" s="1"/>
  <c r="I26" i="2"/>
  <c r="J26" i="2" s="1"/>
  <c r="K26" i="2" s="1"/>
  <c r="I25" i="2"/>
  <c r="J25" i="2" s="1"/>
  <c r="K25" i="2" s="1"/>
  <c r="I24" i="2"/>
  <c r="J24" i="2" s="1"/>
  <c r="K24" i="2" s="1"/>
  <c r="I23" i="2"/>
  <c r="J23" i="2" s="1"/>
  <c r="K23" i="2" s="1"/>
  <c r="J22" i="2"/>
  <c r="K22" i="2" s="1"/>
  <c r="I22" i="2"/>
  <c r="I21" i="2"/>
  <c r="J21" i="2" s="1"/>
  <c r="K21" i="2" s="1"/>
  <c r="I20" i="2"/>
  <c r="J20" i="2" s="1"/>
  <c r="K20" i="2" s="1"/>
  <c r="I19" i="2"/>
  <c r="J19" i="2" s="1"/>
  <c r="K19" i="2" s="1"/>
  <c r="I18" i="2"/>
  <c r="J18" i="2" s="1"/>
  <c r="K18" i="2" s="1"/>
  <c r="I17" i="2"/>
  <c r="J17" i="2" s="1"/>
  <c r="K17" i="2" s="1"/>
  <c r="J16" i="2"/>
  <c r="K16" i="2" s="1"/>
  <c r="I16" i="2"/>
  <c r="J15" i="2"/>
  <c r="K15" i="2" s="1"/>
  <c r="I15" i="2"/>
  <c r="I13" i="2"/>
  <c r="J13" i="2" s="1"/>
  <c r="K13" i="2" s="1"/>
  <c r="I12" i="2"/>
  <c r="J12" i="2" s="1"/>
  <c r="K12" i="2" s="1"/>
  <c r="I11" i="2"/>
  <c r="J11" i="2" s="1"/>
  <c r="K11" i="2" s="1"/>
  <c r="I10" i="2"/>
  <c r="J10" i="2" s="1"/>
  <c r="K10" i="2" s="1"/>
  <c r="I9" i="2"/>
  <c r="J9" i="2" s="1"/>
  <c r="K9" i="2" s="1"/>
  <c r="I8" i="2"/>
  <c r="J8" i="2" s="1"/>
  <c r="K8" i="2" s="1"/>
  <c r="J44" i="1"/>
  <c r="K44" i="1" s="1"/>
  <c r="I44" i="1"/>
  <c r="K43" i="1"/>
  <c r="J43" i="1"/>
  <c r="I43" i="1"/>
  <c r="K42" i="1"/>
  <c r="J42" i="1"/>
  <c r="I42" i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J37" i="1"/>
  <c r="K37" i="1" s="1"/>
  <c r="I37" i="1"/>
  <c r="J36" i="1"/>
  <c r="K36" i="1" s="1"/>
  <c r="I36" i="1"/>
  <c r="K35" i="1"/>
  <c r="J35" i="1"/>
  <c r="I35" i="1"/>
  <c r="K34" i="1"/>
  <c r="J34" i="1"/>
  <c r="I34" i="1"/>
  <c r="K33" i="1"/>
  <c r="I33" i="1"/>
  <c r="J33" i="1" s="1"/>
  <c r="I32" i="1"/>
  <c r="J32" i="1" s="1"/>
  <c r="K32" i="1" s="1"/>
  <c r="I31" i="1"/>
  <c r="J31" i="1" s="1"/>
  <c r="K31" i="1" s="1"/>
  <c r="I28" i="1"/>
  <c r="J28" i="1" s="1"/>
  <c r="K28" i="1" s="1"/>
  <c r="J27" i="1"/>
  <c r="K27" i="1" s="1"/>
  <c r="I27" i="1"/>
  <c r="J26" i="1"/>
  <c r="K26" i="1" s="1"/>
  <c r="I26" i="1"/>
  <c r="J25" i="1"/>
  <c r="K25" i="1" s="1"/>
  <c r="I25" i="1"/>
  <c r="K24" i="1"/>
  <c r="J24" i="1"/>
  <c r="I24" i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J19" i="1"/>
  <c r="K19" i="1" s="1"/>
  <c r="I19" i="1"/>
  <c r="J18" i="1"/>
  <c r="K18" i="1" s="1"/>
  <c r="I18" i="1"/>
  <c r="J17" i="1"/>
  <c r="K17" i="1" s="1"/>
  <c r="I17" i="1"/>
  <c r="K16" i="1"/>
  <c r="J16" i="1"/>
  <c r="I16" i="1"/>
  <c r="I15" i="1"/>
  <c r="J15" i="1" s="1"/>
  <c r="K15" i="1" s="1"/>
  <c r="I13" i="1"/>
  <c r="J13" i="1" s="1"/>
  <c r="K13" i="1" s="1"/>
  <c r="I12" i="1"/>
  <c r="J12" i="1" s="1"/>
  <c r="K12" i="1" s="1"/>
  <c r="I11" i="1"/>
  <c r="J11" i="1" s="1"/>
  <c r="K11" i="1" s="1"/>
  <c r="J10" i="1"/>
  <c r="K10" i="1" s="1"/>
  <c r="I10" i="1"/>
  <c r="J9" i="1"/>
  <c r="K9" i="1" s="1"/>
  <c r="I9" i="1"/>
  <c r="J8" i="1"/>
  <c r="K8" i="1" s="1"/>
  <c r="I8" i="1"/>
</calcChain>
</file>

<file path=xl/sharedStrings.xml><?xml version="1.0" encoding="utf-8"?>
<sst xmlns="http://schemas.openxmlformats.org/spreadsheetml/2006/main" count="290" uniqueCount="118">
  <si>
    <t>LAPORAN REALISASI PENERIMAAN MINGGUAN</t>
  </si>
  <si>
    <t>DINAS PARIWISATA DAN EKONOMI KREATIF PROVINSI NTT</t>
  </si>
  <si>
    <t>KHUSUS KAWASAN WISATA PANTAI LASIANA DAN KAMPUNG SENI FLOBAMORATA</t>
  </si>
  <si>
    <t>KEADAAN SAMPAI DENGAN AGUSTUS 2026</t>
  </si>
  <si>
    <t>(dalam Rupiah)</t>
  </si>
  <si>
    <t>No</t>
  </si>
  <si>
    <t>Jenis Penerimaan</t>
  </si>
  <si>
    <t>Target Penerimaan 2026</t>
  </si>
  <si>
    <t>Realisasi s/d Bulan Lalu</t>
  </si>
  <si>
    <t>Realisasi Mingguan</t>
  </si>
  <si>
    <t>Total Mingguan</t>
  </si>
  <si>
    <t>Realisasi s/d Bulan Ini</t>
  </si>
  <si>
    <t>% Capai</t>
  </si>
  <si>
    <t>I</t>
  </si>
  <si>
    <t>II</t>
  </si>
  <si>
    <t>III</t>
  </si>
  <si>
    <t>IV</t>
  </si>
  <si>
    <t>A</t>
  </si>
  <si>
    <t>Kawasan Wisata Kampung Seni Flobamorata</t>
  </si>
  <si>
    <t>1</t>
  </si>
  <si>
    <t xml:space="preserve">    Retribusi Tempat Khusus Parkir diluar Badan Jalan</t>
  </si>
  <si>
    <t xml:space="preserve">        a. Kendaraan Roda Dua / Motor</t>
  </si>
  <si>
    <t xml:space="preserve">        b. Kendaraan Roda Empat / Mobil</t>
  </si>
  <si>
    <t xml:space="preserve">        c. Kendaraan diatas Roda Empat</t>
  </si>
  <si>
    <t>2</t>
  </si>
  <si>
    <t xml:space="preserve">    Retribusi Penyediaan Tempat Usaha berupa Pertokoan dan Tempat Kegiatan Usaha Lainnya</t>
  </si>
  <si>
    <t xml:space="preserve">        Sewa Tempat Usaha Kampung Seni Flobamorata :</t>
  </si>
  <si>
    <t xml:space="preserve">            1. Food Court :</t>
  </si>
  <si>
    <t xml:space="preserve">                a. Nomor B1</t>
  </si>
  <si>
    <t xml:space="preserve">                b. Nomor B2, B3, B4</t>
  </si>
  <si>
    <t xml:space="preserve">                c. Nomor B5, B6, B7</t>
  </si>
  <si>
    <t xml:space="preserve">            2. Gasebo</t>
  </si>
  <si>
    <t xml:space="preserve">            3. Rumah Ekraf ( A1, A2 )</t>
  </si>
  <si>
    <t xml:space="preserve">        Sewa Pelataran Kampung Seni Flobamorata</t>
  </si>
  <si>
    <t xml:space="preserve">        Sewa Toilet Pos Jaga Kampung Seni Flobamorata</t>
  </si>
  <si>
    <t>B</t>
  </si>
  <si>
    <t>Kawasan Wisata Pantai Lasiana</t>
  </si>
  <si>
    <t xml:space="preserve">    Retribusi Pelayanan Tempat Rekreasi, Pariwisata dan Olahraga</t>
  </si>
  <si>
    <t xml:space="preserve">        1. Tempat Rekreasi Pantai Lasiana :</t>
  </si>
  <si>
    <t xml:space="preserve">            a. Masuk Kawasan Lasiana :</t>
  </si>
  <si>
    <t xml:space="preserve">                - Dewasa</t>
  </si>
  <si>
    <t xml:space="preserve">                - Anak</t>
  </si>
  <si>
    <t xml:space="preserve">                - Wisatawan Mancanegara</t>
  </si>
  <si>
    <t xml:space="preserve">            b. Panjat Tebing</t>
  </si>
  <si>
    <t xml:space="preserve">            c. Labirin</t>
  </si>
  <si>
    <t xml:space="preserve">            d. Sewa MCK</t>
  </si>
  <si>
    <t xml:space="preserve">            e. Sewa Lopo Panggung</t>
  </si>
  <si>
    <t xml:space="preserve">            f. Sewa Lopo Permanen</t>
  </si>
  <si>
    <t xml:space="preserve">        2. Sewa Aula / Gedung di Lasiana</t>
  </si>
  <si>
    <t xml:space="preserve">        3. Sewa Pohon Kelapa di Lasiana</t>
  </si>
  <si>
    <t xml:space="preserve">        4. Sewa Pohon Tuak di Lasiana</t>
  </si>
  <si>
    <t xml:space="preserve">        5. Sewa Resto</t>
  </si>
  <si>
    <t xml:space="preserve">        6. Sewa Kios Lapak</t>
  </si>
  <si>
    <t>TOTAL</t>
  </si>
  <si>
    <t>RINGKASAN 1 - Target vs Realisasi per Kawasan</t>
  </si>
  <si>
    <t>Kawasan</t>
  </si>
  <si>
    <t>Target 2026</t>
  </si>
  <si>
    <t>Realisasi s/d Agustus 2026</t>
  </si>
  <si>
    <t>Kampung Seni Flobamorata</t>
  </si>
  <si>
    <t>Pantai Lasiana</t>
  </si>
  <si>
    <t>RINGKASAN 2 - Realisasi Mingguan per Kawasan</t>
  </si>
  <si>
    <t>Minggu</t>
  </si>
  <si>
    <t>Kampung Seni</t>
  </si>
  <si>
    <t>Minggu I</t>
  </si>
  <si>
    <t>Minggu II</t>
  </si>
  <si>
    <t>Minggu III</t>
  </si>
  <si>
    <t>Minggu IV</t>
  </si>
  <si>
    <t>RINGKASAN 3 - Realisasi per Pos Penerimaan Utama</t>
  </si>
  <si>
    <t>Pos Penerimaan</t>
  </si>
  <si>
    <t>Food Court (Kampung Seni)</t>
  </si>
  <si>
    <t>Sewa Toilet Pos Jaga (Kmp Seni)</t>
  </si>
  <si>
    <t>Retribusi Parkir (Lasiana)</t>
  </si>
  <si>
    <t>Masuk Kawasan Lasiana</t>
  </si>
  <si>
    <t>Sewa Aula / Gedung (Lasiana)</t>
  </si>
  <si>
    <t>Sewa MCK (Lasiana)</t>
  </si>
  <si>
    <t>Sewa Lopo Panggung + Permanen</t>
  </si>
  <si>
    <t>Pos lainnya (Lasiana)</t>
  </si>
  <si>
    <t>CATATAN</t>
  </si>
  <si>
    <t>Sumber: "Laporan Mingguan Agustus Khusus Lasiana dan Kampung Seni.pdf" - Kupang, 31 Agustus 2026.</t>
  </si>
  <si>
    <t>Total Mingguan = SUM(Minggu I:IV); Realisasi s/d Bulan Ini = Realisasi s/d Bulan Lalu + Total Mingguan (rumus hidup, bukan angka ketik).</t>
  </si>
  <si>
    <t>Catatan sumber: target baris A.2 tertulis 49.780.000, sedangkan jumlah rinciannya 63.460.000 (selisih 13.680.000 = Gasebo 5.700.000 + Rumah Ekraf 7.980.000). Perlu konfirmasi Bendahara Penerimaan.</t>
  </si>
  <si>
    <t>Penulisan "Panjat Terbing" dan "Rekreasii" pada dokumen asli dirapikan menjadi "Panjat Tebing" dan "Rekreasi" di rekap ini.</t>
  </si>
  <si>
    <t>KEADAAN SAMPAI DENGAN 21 SEPTEMBER 2026</t>
  </si>
  <si>
    <t>Realisasi s/d 21 September 2026</t>
  </si>
  <si>
    <t>Sumber: "Laporan PAD MInggu III September Khusus Lasiana dan Kampung Seni.pdf" - Kupang, 21 September 2026.</t>
  </si>
  <si>
    <t>Kolom "Realisasi s/d Bulan Lalu" di sheet ini sama persis dengan kolom "Realisasi s/d Bulan Ini" di sheet Agustus 2026 - sudah dicek baris per baris.</t>
  </si>
  <si>
    <t>Catatan sumber: dokumen berjudul Minggu III namun kolom Minggu IV ikut terisi (2.349.000). Tidak memengaruhi total mana pun; perlu konfirmasi penempatan kolomnya.</t>
  </si>
  <si>
    <t>PERBANDINGAN REALISASI PENERIMAAN</t>
  </si>
  <si>
    <t>KAWASAN WISATA PANTAI LASIANA DAN KAMPUNG SENI FLOBAMORATA</t>
  </si>
  <si>
    <t>AGUSTUS 2026  vs  1 - 21 SEPTEMBER 2026</t>
  </si>
  <si>
    <t>Penerimaan Bulan Berjalan</t>
  </si>
  <si>
    <t>Realisasi Kumulatif</t>
  </si>
  <si>
    <t>Agustus 2026</t>
  </si>
  <si>
    <t>1 - 21 Sept 2026</t>
  </si>
  <si>
    <t>Selisih (Rp)</t>
  </si>
  <si>
    <t>Selisih (%)</t>
  </si>
  <si>
    <t>s/d Agustus</t>
  </si>
  <si>
    <t>s/d 21 Sept</t>
  </si>
  <si>
    <t xml:space="preserve">    Retribusi Penyediaan Tempat Usaha (Pertokoan dll.)</t>
  </si>
  <si>
    <t xml:space="preserve">        Sewa Pelataran Kampung Seni</t>
  </si>
  <si>
    <t xml:space="preserve">        Sewa Toilet Pos Jaga Kampung Seni</t>
  </si>
  <si>
    <t xml:space="preserve">    Retribusi Pelayanan Tempat Rekreasi &amp; Olahraga</t>
  </si>
  <si>
    <t>RINGKASAN 1 - Penerimaan Bulan Berjalan per Kawasan</t>
  </si>
  <si>
    <t>RINGKASAN 2 - Realisasi Mingguan</t>
  </si>
  <si>
    <t>Selisih</t>
  </si>
  <si>
    <t>Catatan pembanding: Agustus 4 minggu penuh, September baru s/d 21</t>
  </si>
  <si>
    <t>Laju penerimaan</t>
  </si>
  <si>
    <t>Total penerimaan</t>
  </si>
  <si>
    <t>Jumlah minggu tercatat</t>
  </si>
  <si>
    <t>Rata-rata per minggu</t>
  </si>
  <si>
    <t>RINGKASAN 3 - Perbandingan per Pos Penerimaan Utama</t>
  </si>
  <si>
    <t>Kumulatif s/d Agt</t>
  </si>
  <si>
    <t>Kumulatif s/d 21 Sept</t>
  </si>
  <si>
    <t>1. Sumber: "Laporan Mingguan Agustus Khusus Lasiana dan Kampung Seni.pdf" (Kupang, 31 Agustus 2026) dan "Laporan PAD MInggu III September Khusus Lasiana dan Kampung Seni.pdf" (Kupang, 21 September 2026).</t>
  </si>
  <si>
    <t>2. Kolom "Penerimaan Bulan Berjalan" diambil dari kolom Total Mingguan masing-masing laporan, yaitu penerimaan yang masuk pada bulan bersangkutan - bukan angka kumulatif.</t>
  </si>
  <si>
    <t>3. Perbandingan belum setara: Agustus adalah satu bulan penuh, sedangkan September baru tercatat sampai tanggal 21. Lihat blok laju mingguan di halaman 2.</t>
  </si>
  <si>
    <t>4. Dokumen September berjudul Minggu III namun kolom Minggu IV ikut terisi (2.349.000). Tidak memengaruhi total mana pun; perlu konfirmasi Bendahara Penerimaan atas penempatan kolomnya.</t>
  </si>
  <si>
    <t>5. Target baris A.2 tertulis 49.780.000, sedangkan jumlah rinciannya 63.460.000 (selisih 13.680.000 = Gasebo 5.700.000 + Rumah Ekraf 7.980.000). Perlu konfirmasi Bendahara Penerimaan.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</si>
</sst>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&quot;-&quot;"/>
    <numFmt numFmtId="165" formatCode="#,##0;[Red]\-#,##0;&quot;-&quot;"/>
    <numFmt numFmtId="166" formatCode="0.0%;[Red]\-0.0%;&quot;-&quot;"/>
  </numFmts>
  <fonts count="12" x14ac:knownFonts="1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595959"/>
      <name val="Calibri"/>
      <family val="2"/>
    </font>
    <font>
      <sz val="12"/>
      <name val="Calibri"/>
      <family val="2"/>
    </font>
    <font>
      <b/>
      <sz val="12"/>
      <color rgb="FFC00000"/>
      <name val="Calibri"/>
      <family val="2"/>
    </font>
    <font>
      <sz val="12"/>
      <color rgb="FF40404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DF2FA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165" fontId="11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Target vs Realisasi per Kawasan (s/d Agustus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'Agustus 2026'!$C$48</c:f>
              <c:strCache>
                <c:ptCount val="1"/>
                <c:pt idx="0">
                  <c:v>Target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2026'!$B$49:$B$51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'Agustus 2026'!$C$49:$C$51</c:f>
              <c:numCache>
                <c:formatCode>#,##0;\-#,##0;"-"</c:formatCode>
                <c:ptCount val="3"/>
                <c:pt idx="0">
                  <c:v>54530000</c:v>
                </c:pt>
                <c:pt idx="1">
                  <c:v>444270000</c:v>
                </c:pt>
                <c:pt idx="2">
                  <c:v>498800000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9-44D8-A202-648179EE0333}"/>
            </c:ext>
          </c:extLst>
        </c:ser>
        <c:ser>
          <c:idx val="1"/>
          <c:order val="1"/>
          <c:tx>
            <c:strRef>
              <c:f>'Agustus 2026'!$D$48</c:f>
              <c:strCache>
                <c:ptCount val="1"/>
                <c:pt idx="0">
                  <c:v>Realisasi s/d Agustus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2026'!$B$49:$B$51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'Agustus 2026'!$D$49:$D$51</c:f>
              <c:numCache>
                <c:formatCode>#,##0;\-#,##0;"-"</c:formatCode>
                <c:ptCount val="3"/>
                <c:pt idx="0">
                  <c:v>40320000</c:v>
                </c:pt>
                <c:pt idx="1">
                  <c:v>70094000</c:v>
                </c:pt>
                <c:pt idx="2">
                  <c:v>110414000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9-44D8-A202-648179EE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7313725490196051E-2"/>
          <c:y val="0.19994934640522877"/>
          <c:w val="0.28165686274509805"/>
          <c:h val="0.16016666666666668"/>
        </c:manualLayout>
      </c:layout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 paperSize="5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Realisasi Mingguan per Kawasan (Agustus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'Agustus 2026'!$C$67</c:f>
              <c:strCache>
                <c:ptCount val="1"/>
                <c:pt idx="0">
                  <c:v>Kampung Seni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2026'!$B$68:$B$71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'Agustus 2026'!$C$68:$C$71</c:f>
              <c:numCache>
                <c:formatCode>#,##0;\-#,##0;"-"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15720000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B-4970-9221-ACAE23C8D8D1}"/>
            </c:ext>
          </c:extLst>
        </c:ser>
        <c:ser>
          <c:idx val="1"/>
          <c:order val="1"/>
          <c:tx>
            <c:strRef>
              <c:f>'Agustus 2026'!$D$67</c:f>
              <c:strCache>
                <c:ptCount val="1"/>
                <c:pt idx="0">
                  <c:v>Pantai Lasiana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2026'!$B$68:$B$71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'Agustus 2026'!$D$68:$D$71</c:f>
              <c:numCache>
                <c:formatCode>#,##0;\-#,##0;"-"</c:formatCode>
                <c:ptCount val="4"/>
                <c:pt idx="0">
                  <c:v>2490000</c:v>
                </c:pt>
                <c:pt idx="1">
                  <c:v>5433000</c:v>
                </c:pt>
                <c:pt idx="2">
                  <c:v>4265000</c:v>
                </c:pt>
                <c:pt idx="3">
                  <c:v>6687000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B-4970-9221-ACAE23C8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Realisasi per Pos Penerimaan Utama (s/d Agustus 2026)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'Agustus 2026'!$C$86</c:f>
              <c:strCache>
                <c:ptCount val="1"/>
                <c:pt idx="0">
                  <c:v>Target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2026'!$B$87:$B$94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'Agustus 2026'!$C$87:$C$94</c:f>
              <c:numCache>
                <c:formatCode>#,##0;\-#,##0;"-"</c:formatCode>
                <c:ptCount val="8"/>
                <c:pt idx="0">
                  <c:v>45600000</c:v>
                </c:pt>
                <c:pt idx="1">
                  <c:v>2280000</c:v>
                </c:pt>
                <c:pt idx="2">
                  <c:v>103354000</c:v>
                </c:pt>
                <c:pt idx="3">
                  <c:v>278342000</c:v>
                </c:pt>
                <c:pt idx="4">
                  <c:v>53000000</c:v>
                </c:pt>
                <c:pt idx="5">
                  <c:v>5874000</c:v>
                </c:pt>
                <c:pt idx="6">
                  <c:v>1600000</c:v>
                </c:pt>
                <c:pt idx="7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3F5-B1FC-0834BA7D57C7}"/>
            </c:ext>
          </c:extLst>
        </c:ser>
        <c:ser>
          <c:idx val="1"/>
          <c:order val="1"/>
          <c:tx>
            <c:strRef>
              <c:f>'Agustus 2026'!$D$86</c:f>
              <c:strCache>
                <c:ptCount val="1"/>
                <c:pt idx="0">
                  <c:v>Realisasi s/d Agustus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'Agustus 2026'!$B$87:$B$94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'Agustus 2026'!$D$87:$D$94</c:f>
              <c:numCache>
                <c:formatCode>#,##0;\-#,##0;"-"</c:formatCode>
                <c:ptCount val="8"/>
                <c:pt idx="0">
                  <c:v>38400000</c:v>
                </c:pt>
                <c:pt idx="1">
                  <c:v>1920000</c:v>
                </c:pt>
                <c:pt idx="2">
                  <c:v>2934000</c:v>
                </c:pt>
                <c:pt idx="3">
                  <c:v>45027000</c:v>
                </c:pt>
                <c:pt idx="4">
                  <c:v>17750000</c:v>
                </c:pt>
                <c:pt idx="5">
                  <c:v>2401000</c:v>
                </c:pt>
                <c:pt idx="6">
                  <c:v>975000</c:v>
                </c:pt>
                <c:pt idx="7">
                  <c:v>1007000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F-43F5-B1FC-0834BA7D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Target vs Realisasi per Kawasan (s/d 21 September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'21 September 2026'!$C$48</c:f>
              <c:strCache>
                <c:ptCount val="1"/>
                <c:pt idx="0">
                  <c:v>Target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2026'!$B$49:$B$51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'21 September 2026'!$C$49:$C$51</c:f>
              <c:numCache>
                <c:formatCode>#,##0;\-#,##0;"-"</c:formatCode>
                <c:ptCount val="3"/>
                <c:pt idx="0">
                  <c:v>54530000</c:v>
                </c:pt>
                <c:pt idx="1">
                  <c:v>444270000</c:v>
                </c:pt>
                <c:pt idx="2">
                  <c:v>498800000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5-4358-A181-EE8F2E7DE979}"/>
            </c:ext>
          </c:extLst>
        </c:ser>
        <c:ser>
          <c:idx val="1"/>
          <c:order val="1"/>
          <c:tx>
            <c:strRef>
              <c:f>'21 September 2026'!$D$48</c:f>
              <c:strCache>
                <c:ptCount val="1"/>
                <c:pt idx="0">
                  <c:v>Realisasi s/d 21 September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2026'!$B$49:$B$51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'21 September 2026'!$D$49:$D$51</c:f>
              <c:numCache>
                <c:formatCode>#,##0;\-#,##0;"-"</c:formatCode>
                <c:ptCount val="3"/>
                <c:pt idx="0">
                  <c:v>40320000</c:v>
                </c:pt>
                <c:pt idx="1">
                  <c:v>76343000</c:v>
                </c:pt>
                <c:pt idx="2">
                  <c:v>116663000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5-4358-A181-EE8F2E7DE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en-ID" sz="1050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1938398692810508E-2"/>
          <c:y val="0.19164869281045752"/>
          <c:w val="0.33891127450980391"/>
          <c:h val="0.16016666666666668"/>
        </c:manualLayout>
      </c:layout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Realisasi Mingguan per Kawasan (21 September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'21 September 2026'!$C$67</c:f>
              <c:strCache>
                <c:ptCount val="1"/>
                <c:pt idx="0">
                  <c:v>Kampung Seni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2026'!$B$68:$B$71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'21 September 2026'!$C$68:$C$71</c:f>
              <c:numCache>
                <c:formatCode>#,##0;\-#,##0;"-"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6E6-AD92-670C5F72AF9F}"/>
            </c:ext>
          </c:extLst>
        </c:ser>
        <c:ser>
          <c:idx val="1"/>
          <c:order val="1"/>
          <c:tx>
            <c:strRef>
              <c:f>'21 September 2026'!$D$67</c:f>
              <c:strCache>
                <c:ptCount val="1"/>
                <c:pt idx="0">
                  <c:v>Pantai Lasiana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2026'!$B$68:$B$71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'21 September 2026'!$D$68:$D$71</c:f>
              <c:numCache>
                <c:formatCode>#,##0;\-#,##0;"-"</c:formatCode>
                <c:ptCount val="4"/>
                <c:pt idx="0">
                  <c:v>170000</c:v>
                </c:pt>
                <c:pt idx="1">
                  <c:v>2269000</c:v>
                </c:pt>
                <c:pt idx="2">
                  <c:v>1461000</c:v>
                </c:pt>
                <c:pt idx="3">
                  <c:v>2349000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5-46E6-AD92-670C5F72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en-ID" sz="1050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7482679738562105E-2"/>
          <c:y val="0.2290016339869281"/>
          <c:w val="0.16980490196078432"/>
          <c:h val="0.16016666666666668"/>
        </c:manualLayout>
      </c:layout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Realisasi per Pos Penerimaan Utama (s/d 21 September 2026)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'21 September 2026'!$C$86</c:f>
              <c:strCache>
                <c:ptCount val="1"/>
                <c:pt idx="0">
                  <c:v>Target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2026'!$B$87:$B$94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'21 September 2026'!$C$87:$C$94</c:f>
              <c:numCache>
                <c:formatCode>#,##0;\-#,##0;"-"</c:formatCode>
                <c:ptCount val="8"/>
                <c:pt idx="0">
                  <c:v>45600000</c:v>
                </c:pt>
                <c:pt idx="1">
                  <c:v>2280000</c:v>
                </c:pt>
                <c:pt idx="2">
                  <c:v>103354000</c:v>
                </c:pt>
                <c:pt idx="3">
                  <c:v>278342000</c:v>
                </c:pt>
                <c:pt idx="4">
                  <c:v>53000000</c:v>
                </c:pt>
                <c:pt idx="5">
                  <c:v>5874000</c:v>
                </c:pt>
                <c:pt idx="6">
                  <c:v>1600000</c:v>
                </c:pt>
                <c:pt idx="7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798-A7AB-2CD506B36AD4}"/>
            </c:ext>
          </c:extLst>
        </c:ser>
        <c:ser>
          <c:idx val="1"/>
          <c:order val="1"/>
          <c:tx>
            <c:strRef>
              <c:f>'21 September 2026'!$D$86</c:f>
              <c:strCache>
                <c:ptCount val="1"/>
                <c:pt idx="0">
                  <c:v>Realisasi s/d 21 September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'21 September 2026'!$B$87:$B$94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'21 September 2026'!$D$87:$D$94</c:f>
              <c:numCache>
                <c:formatCode>#,##0;\-#,##0;"-"</c:formatCode>
                <c:ptCount val="8"/>
                <c:pt idx="0">
                  <c:v>38400000</c:v>
                </c:pt>
                <c:pt idx="1">
                  <c:v>1920000</c:v>
                </c:pt>
                <c:pt idx="2">
                  <c:v>4235000</c:v>
                </c:pt>
                <c:pt idx="3">
                  <c:v>48336000</c:v>
                </c:pt>
                <c:pt idx="4">
                  <c:v>19250000</c:v>
                </c:pt>
                <c:pt idx="5">
                  <c:v>2465000</c:v>
                </c:pt>
                <c:pt idx="6">
                  <c:v>1050000</c:v>
                </c:pt>
                <c:pt idx="7">
                  <c:v>1007000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E-4798-A7AB-2CD506B36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Penerimaan Bulan Berjalan per Kawasan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'Perbandingan Agt vs Sept'!$C$49</c:f>
              <c:strCache>
                <c:ptCount val="1"/>
                <c:pt idx="0">
                  <c:v>Agustus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Sept'!$B$50:$B$52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'Perbandingan Agt vs Sept'!$C$50:$C$52</c:f>
              <c:numCache>
                <c:formatCode>#,##0;\-#,##0;"-"</c:formatCode>
                <c:ptCount val="3"/>
                <c:pt idx="0">
                  <c:v>15720000</c:v>
                </c:pt>
                <c:pt idx="1">
                  <c:v>18875000</c:v>
                </c:pt>
                <c:pt idx="2">
                  <c:v>34595000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7-492F-BFB4-875AB570DE4E}"/>
            </c:ext>
          </c:extLst>
        </c:ser>
        <c:ser>
          <c:idx val="1"/>
          <c:order val="1"/>
          <c:tx>
            <c:strRef>
              <c:f>'Perbandingan Agt vs Sept'!$D$49</c:f>
              <c:strCache>
                <c:ptCount val="1"/>
                <c:pt idx="0">
                  <c:v>1 - 21 Sept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Sept'!$B$50:$B$52</c:f>
              <c:strCache>
                <c:ptCount val="3"/>
                <c:pt idx="0">
                  <c:v>Kampung Seni Flobamorata</c:v>
                </c:pt>
                <c:pt idx="1">
                  <c:v>Pantai Lasiana</c:v>
                </c:pt>
                <c:pt idx="2">
                  <c:v>TOTAL</c:v>
                </c:pt>
              </c:strCache>
            </c:strRef>
          </c:cat>
          <c:val>
            <c:numRef>
              <c:f>'Perbandingan Agt vs Sept'!$D$50:$D$52</c:f>
              <c:numCache>
                <c:formatCode>#,##0;\-#,##0;"-"</c:formatCode>
                <c:ptCount val="3"/>
                <c:pt idx="0">
                  <c:v>0</c:v>
                </c:pt>
                <c:pt idx="1">
                  <c:v>6249000</c:v>
                </c:pt>
                <c:pt idx="2">
                  <c:v>6249000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7-492F-BFB4-875AB570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Realisasi Mingguan - Agustus vs September</a:t>
            </a:r>
          </a:p>
        </c:rich>
      </c:tx>
      <c:layout>
        <c:manualLayout>
          <c:xMode val="edge"/>
          <c:yMode val="edge"/>
          <c:x val="0.27803107638888891"/>
          <c:y val="3.71345029239766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4.4561403508771927E-2"/>
          <c:w val="0.95149305555555552"/>
          <c:h val="0.9183040935672515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'Perbandingan Agt vs Sept'!$H$49</c:f>
              <c:strCache>
                <c:ptCount val="1"/>
                <c:pt idx="0">
                  <c:v>Agustus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Sept'!$G$50:$G$53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'Perbandingan Agt vs Sept'!$H$50:$H$53</c:f>
              <c:numCache>
                <c:formatCode>#,##0;\-#,##0;"-"</c:formatCode>
                <c:ptCount val="4"/>
                <c:pt idx="0">
                  <c:v>2490000</c:v>
                </c:pt>
                <c:pt idx="1">
                  <c:v>5433000</c:v>
                </c:pt>
                <c:pt idx="2">
                  <c:v>19985000</c:v>
                </c:pt>
                <c:pt idx="3">
                  <c:v>6687000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3-48A7-AD60-CF74EBB2F7C7}"/>
            </c:ext>
          </c:extLst>
        </c:ser>
        <c:ser>
          <c:idx val="1"/>
          <c:order val="1"/>
          <c:tx>
            <c:strRef>
              <c:f>'Perbandingan Agt vs Sept'!$I$49</c:f>
              <c:strCache>
                <c:ptCount val="1"/>
                <c:pt idx="0">
                  <c:v>1 - 21 Sept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Sept'!$G$50:$G$53</c:f>
              <c:strCache>
                <c:ptCount val="4"/>
                <c:pt idx="0">
                  <c:v>Minggu I</c:v>
                </c:pt>
                <c:pt idx="1">
                  <c:v>Minggu II</c:v>
                </c:pt>
                <c:pt idx="2">
                  <c:v>Minggu III</c:v>
                </c:pt>
                <c:pt idx="3">
                  <c:v>Minggu IV</c:v>
                </c:pt>
              </c:strCache>
            </c:strRef>
          </c:cat>
          <c:val>
            <c:numRef>
              <c:f>'Perbandingan Agt vs Sept'!$I$50:$I$53</c:f>
              <c:numCache>
                <c:formatCode>#,##0;\-#,##0;"-"</c:formatCode>
                <c:ptCount val="4"/>
                <c:pt idx="0">
                  <c:v>170000</c:v>
                </c:pt>
                <c:pt idx="1">
                  <c:v>2269000</c:v>
                </c:pt>
                <c:pt idx="2">
                  <c:v>1461000</c:v>
                </c:pt>
                <c:pt idx="3">
                  <c:v>2349000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3-48A7-AD60-CF74EBB2F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Rupiah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 sz="1100"/>
            </a:pPr>
            <a:r>
              <a:rPr lang="en-ID" sz="1100"/>
              <a:t>Penerimaan per Pos - Agustus vs 1-21 September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'Perbandingan Agt vs Sept'!$C$87</c:f>
              <c:strCache>
                <c:ptCount val="1"/>
                <c:pt idx="0">
                  <c:v>Agustus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Sept'!$B$88:$B$95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'Perbandingan Agt vs Sept'!$C$88:$C$95</c:f>
              <c:numCache>
                <c:formatCode>#,##0;\-#,##0;"-"</c:formatCode>
                <c:ptCount val="8"/>
                <c:pt idx="0">
                  <c:v>15720000</c:v>
                </c:pt>
                <c:pt idx="1">
                  <c:v>0</c:v>
                </c:pt>
                <c:pt idx="2">
                  <c:v>2934000</c:v>
                </c:pt>
                <c:pt idx="3">
                  <c:v>9262000</c:v>
                </c:pt>
                <c:pt idx="4">
                  <c:v>6000000</c:v>
                </c:pt>
                <c:pt idx="5">
                  <c:v>154000</c:v>
                </c:pt>
                <c:pt idx="6">
                  <c:v>525000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AE8-9334-50AD1B38F026}"/>
            </c:ext>
          </c:extLst>
        </c:ser>
        <c:ser>
          <c:idx val="1"/>
          <c:order val="1"/>
          <c:tx>
            <c:strRef>
              <c:f>'Perbandingan Agt vs Sept'!$D$87</c:f>
              <c:strCache>
                <c:ptCount val="1"/>
                <c:pt idx="0">
                  <c:v>1 - 21 Sept 2026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'Perbandingan Agt vs Sept'!$B$88:$B$95</c:f>
              <c:strCache>
                <c:ptCount val="8"/>
                <c:pt idx="0">
                  <c:v>Food Court (Kampung Seni)</c:v>
                </c:pt>
                <c:pt idx="1">
                  <c:v>Sewa Toilet Pos Jaga (Kmp Seni)</c:v>
                </c:pt>
                <c:pt idx="2">
                  <c:v>Retribusi Parkir (Lasiana)</c:v>
                </c:pt>
                <c:pt idx="3">
                  <c:v>Masuk Kawasan Lasiana</c:v>
                </c:pt>
                <c:pt idx="4">
                  <c:v>Sewa Aula / Gedung (Lasiana)</c:v>
                </c:pt>
                <c:pt idx="5">
                  <c:v>Sewa MCK (Lasiana)</c:v>
                </c:pt>
                <c:pt idx="6">
                  <c:v>Sewa Lopo Panggung + Permanen</c:v>
                </c:pt>
                <c:pt idx="7">
                  <c:v>Pos lainnya (Lasiana)</c:v>
                </c:pt>
              </c:strCache>
            </c:strRef>
          </c:cat>
          <c:val>
            <c:numRef>
              <c:f>'Perbandingan Agt vs Sept'!$D$88:$D$95</c:f>
              <c:numCache>
                <c:formatCode>#,##0;\-#,##0;"-"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1301000</c:v>
                </c:pt>
                <c:pt idx="3">
                  <c:v>3309000</c:v>
                </c:pt>
                <c:pt idx="4">
                  <c:v>1500000</c:v>
                </c:pt>
                <c:pt idx="5">
                  <c:v>64000</c:v>
                </c:pt>
                <c:pt idx="6">
                  <c:v>75000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0-4AE8-9334-50AD1B38F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;\-#,##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539750</xdr:colOff>
      <xdr:row>46</xdr:row>
      <xdr:rowOff>142875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476250</xdr:colOff>
      <xdr:row>62</xdr:row>
      <xdr:rowOff>158750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920750</xdr:colOff>
      <xdr:row>94</xdr:row>
      <xdr:rowOff>174625</xdr:rowOff>
    </xdr:from>
    <xdr:ext cx="68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15875</xdr:colOff>
      <xdr:row>47</xdr:row>
      <xdr:rowOff>190500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460375</xdr:colOff>
      <xdr:row>84</xdr:row>
      <xdr:rowOff>174625</xdr:rowOff>
    </xdr:from>
    <xdr:ext cx="68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</xdr:row>
      <xdr:rowOff>0</xdr:rowOff>
    </xdr:from>
    <xdr:ext cx="576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54</xdr:row>
      <xdr:rowOff>0</xdr:rowOff>
    </xdr:from>
    <xdr:ext cx="576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152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K112"/>
  <sheetViews>
    <sheetView showGridLines="0" view="pageBreakPreview" zoomScaleNormal="100" zoomScaleSheetLayoutView="100" workbookViewId="0">
      <pane xSplit="2" ySplit="7" topLeftCell="D47" activePane="bottomRight" state="frozen"/>
      <selection pane="topRight"/>
      <selection pane="bottomLeft"/>
      <selection pane="bottomRight" activeCell="D47" sqref="D47"/>
    </sheetView>
  </sheetViews>
  <sheetFormatPr defaultRowHeight="15.75" x14ac:dyDescent="0.25"/>
  <cols>
    <col min="1" max="1" width="5" style="4" customWidth="1"/>
    <col min="2" max="2" width="54" style="4" customWidth="1"/>
    <col min="3" max="10" width="15.42578125" style="4" customWidth="1"/>
    <col min="11" max="11" width="10" style="4" customWidth="1"/>
    <col min="12" max="16384" width="9.140625" style="4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3" t="s">
        <v>4</v>
      </c>
    </row>
    <row r="6" spans="1:11" ht="21.95" customHeigh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/>
      <c r="G6" s="5"/>
      <c r="H6" s="5"/>
      <c r="I6" s="5" t="s">
        <v>10</v>
      </c>
      <c r="J6" s="5" t="s">
        <v>11</v>
      </c>
      <c r="K6" s="5" t="s">
        <v>12</v>
      </c>
    </row>
    <row r="7" spans="1:11" ht="21.95" customHeight="1" x14ac:dyDescent="0.25">
      <c r="A7" s="5"/>
      <c r="B7" s="5"/>
      <c r="C7" s="5"/>
      <c r="D7" s="5"/>
      <c r="E7" s="6" t="s">
        <v>13</v>
      </c>
      <c r="F7" s="6" t="s">
        <v>14</v>
      </c>
      <c r="G7" s="6" t="s">
        <v>15</v>
      </c>
      <c r="H7" s="6" t="s">
        <v>16</v>
      </c>
      <c r="I7" s="5"/>
      <c r="J7" s="5"/>
      <c r="K7" s="5"/>
    </row>
    <row r="8" spans="1:11" x14ac:dyDescent="0.25">
      <c r="A8" s="7" t="s">
        <v>17</v>
      </c>
      <c r="B8" s="8" t="s">
        <v>18</v>
      </c>
      <c r="C8" s="9">
        <v>54530000</v>
      </c>
      <c r="D8" s="9">
        <v>24600000</v>
      </c>
      <c r="E8" s="9">
        <v>0</v>
      </c>
      <c r="F8" s="9">
        <v>0</v>
      </c>
      <c r="G8" s="9">
        <v>15720000</v>
      </c>
      <c r="H8" s="9">
        <v>0</v>
      </c>
      <c r="I8" s="9">
        <f t="shared" ref="I8:I13" si="0">SUM(E8:H8)</f>
        <v>15720000</v>
      </c>
      <c r="J8" s="9">
        <f t="shared" ref="J8:J13" si="1">D8+I8</f>
        <v>40320000</v>
      </c>
      <c r="K8" s="10">
        <f t="shared" ref="K8:K13" si="2">IF(C8=0,"",J8/C8)</f>
        <v>0.73940949935815148</v>
      </c>
    </row>
    <row r="9" spans="1:11" x14ac:dyDescent="0.25">
      <c r="A9" s="11" t="s">
        <v>19</v>
      </c>
      <c r="B9" s="12" t="s">
        <v>20</v>
      </c>
      <c r="C9" s="13">
        <v>4750000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f t="shared" si="0"/>
        <v>0</v>
      </c>
      <c r="J9" s="13">
        <f t="shared" si="1"/>
        <v>0</v>
      </c>
      <c r="K9" s="14">
        <f t="shared" si="2"/>
        <v>0</v>
      </c>
    </row>
    <row r="10" spans="1:11" x14ac:dyDescent="0.25">
      <c r="A10" s="15"/>
      <c r="B10" s="16" t="s">
        <v>21</v>
      </c>
      <c r="C10" s="17">
        <v>1500000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f t="shared" si="0"/>
        <v>0</v>
      </c>
      <c r="J10" s="17">
        <f t="shared" si="1"/>
        <v>0</v>
      </c>
      <c r="K10" s="18">
        <f t="shared" si="2"/>
        <v>0</v>
      </c>
    </row>
    <row r="11" spans="1:11" x14ac:dyDescent="0.25">
      <c r="A11" s="15"/>
      <c r="B11" s="16" t="s">
        <v>22</v>
      </c>
      <c r="C11" s="17">
        <v>2500000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f t="shared" si="0"/>
        <v>0</v>
      </c>
      <c r="J11" s="17">
        <f t="shared" si="1"/>
        <v>0</v>
      </c>
      <c r="K11" s="18">
        <f t="shared" si="2"/>
        <v>0</v>
      </c>
    </row>
    <row r="12" spans="1:11" x14ac:dyDescent="0.25">
      <c r="A12" s="15"/>
      <c r="B12" s="16" t="s">
        <v>23</v>
      </c>
      <c r="C12" s="17">
        <v>750000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f t="shared" si="0"/>
        <v>0</v>
      </c>
      <c r="J12" s="17">
        <f t="shared" si="1"/>
        <v>0</v>
      </c>
      <c r="K12" s="18">
        <f t="shared" si="2"/>
        <v>0</v>
      </c>
    </row>
    <row r="13" spans="1:11" ht="31.5" x14ac:dyDescent="0.25">
      <c r="A13" s="11" t="s">
        <v>24</v>
      </c>
      <c r="B13" s="12" t="s">
        <v>25</v>
      </c>
      <c r="C13" s="13">
        <v>49780000</v>
      </c>
      <c r="D13" s="13">
        <v>24600000</v>
      </c>
      <c r="E13" s="13">
        <v>0</v>
      </c>
      <c r="F13" s="13">
        <v>0</v>
      </c>
      <c r="G13" s="13">
        <v>15720000</v>
      </c>
      <c r="H13" s="13">
        <v>0</v>
      </c>
      <c r="I13" s="13">
        <f t="shared" si="0"/>
        <v>15720000</v>
      </c>
      <c r="J13" s="13">
        <f t="shared" si="1"/>
        <v>40320000</v>
      </c>
      <c r="K13" s="14">
        <f t="shared" si="2"/>
        <v>0.80996384089995987</v>
      </c>
    </row>
    <row r="14" spans="1:11" x14ac:dyDescent="0.25">
      <c r="A14" s="19"/>
      <c r="B14" s="20" t="s">
        <v>26</v>
      </c>
      <c r="C14" s="21"/>
      <c r="D14" s="21"/>
      <c r="E14" s="21"/>
      <c r="F14" s="21"/>
      <c r="G14" s="21"/>
      <c r="H14" s="21"/>
      <c r="I14" s="21"/>
      <c r="J14" s="21"/>
      <c r="K14" s="22"/>
    </row>
    <row r="15" spans="1:11" x14ac:dyDescent="0.25">
      <c r="A15" s="15"/>
      <c r="B15" s="16" t="s">
        <v>27</v>
      </c>
      <c r="C15" s="17">
        <v>45600000</v>
      </c>
      <c r="D15" s="17">
        <v>22680000</v>
      </c>
      <c r="E15" s="17">
        <v>0</v>
      </c>
      <c r="F15" s="17">
        <v>0</v>
      </c>
      <c r="G15" s="17">
        <v>15720000</v>
      </c>
      <c r="H15" s="17">
        <v>0</v>
      </c>
      <c r="I15" s="17">
        <f t="shared" ref="I15:I28" si="3">SUM(E15:H15)</f>
        <v>15720000</v>
      </c>
      <c r="J15" s="17">
        <f t="shared" ref="J15:J28" si="4">D15+I15</f>
        <v>38400000</v>
      </c>
      <c r="K15" s="18">
        <f t="shared" ref="K15:K28" si="5">IF(C15=0,"",J15/C15)</f>
        <v>0.84210526315789469</v>
      </c>
    </row>
    <row r="16" spans="1:11" x14ac:dyDescent="0.25">
      <c r="A16" s="15"/>
      <c r="B16" s="16" t="s">
        <v>28</v>
      </c>
      <c r="C16" s="17">
        <v>19000000</v>
      </c>
      <c r="D16" s="17">
        <v>280000</v>
      </c>
      <c r="E16" s="17">
        <v>0</v>
      </c>
      <c r="F16" s="17">
        <v>0</v>
      </c>
      <c r="G16" s="17">
        <v>15720000</v>
      </c>
      <c r="H16" s="17">
        <v>0</v>
      </c>
      <c r="I16" s="17">
        <f t="shared" si="3"/>
        <v>15720000</v>
      </c>
      <c r="J16" s="17">
        <f t="shared" si="4"/>
        <v>16000000</v>
      </c>
      <c r="K16" s="18">
        <f t="shared" si="5"/>
        <v>0.84210526315789469</v>
      </c>
    </row>
    <row r="17" spans="1:11" x14ac:dyDescent="0.25">
      <c r="A17" s="15"/>
      <c r="B17" s="16" t="s">
        <v>29</v>
      </c>
      <c r="C17" s="17">
        <v>15200000</v>
      </c>
      <c r="D17" s="17">
        <v>12800000</v>
      </c>
      <c r="E17" s="17">
        <v>0</v>
      </c>
      <c r="F17" s="17">
        <v>0</v>
      </c>
      <c r="G17" s="17">
        <v>0</v>
      </c>
      <c r="H17" s="17">
        <v>0</v>
      </c>
      <c r="I17" s="17">
        <f t="shared" si="3"/>
        <v>0</v>
      </c>
      <c r="J17" s="17">
        <f t="shared" si="4"/>
        <v>12800000</v>
      </c>
      <c r="K17" s="18">
        <f t="shared" si="5"/>
        <v>0.84210526315789469</v>
      </c>
    </row>
    <row r="18" spans="1:11" x14ac:dyDescent="0.25">
      <c r="A18" s="15"/>
      <c r="B18" s="16" t="s">
        <v>30</v>
      </c>
      <c r="C18" s="17">
        <v>11400000</v>
      </c>
      <c r="D18" s="17">
        <v>9600000</v>
      </c>
      <c r="E18" s="17">
        <v>0</v>
      </c>
      <c r="F18" s="17">
        <v>0</v>
      </c>
      <c r="G18" s="17">
        <v>0</v>
      </c>
      <c r="H18" s="17">
        <v>0</v>
      </c>
      <c r="I18" s="17">
        <f t="shared" si="3"/>
        <v>0</v>
      </c>
      <c r="J18" s="17">
        <f t="shared" si="4"/>
        <v>9600000</v>
      </c>
      <c r="K18" s="18">
        <f t="shared" si="5"/>
        <v>0.84210526315789469</v>
      </c>
    </row>
    <row r="19" spans="1:11" x14ac:dyDescent="0.25">
      <c r="A19" s="15"/>
      <c r="B19" s="16" t="s">
        <v>31</v>
      </c>
      <c r="C19" s="17">
        <v>5700000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f t="shared" si="3"/>
        <v>0</v>
      </c>
      <c r="J19" s="17">
        <f t="shared" si="4"/>
        <v>0</v>
      </c>
      <c r="K19" s="18">
        <f t="shared" si="5"/>
        <v>0</v>
      </c>
    </row>
    <row r="20" spans="1:11" x14ac:dyDescent="0.25">
      <c r="A20" s="15"/>
      <c r="B20" s="16" t="s">
        <v>32</v>
      </c>
      <c r="C20" s="17">
        <v>7980000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f t="shared" si="3"/>
        <v>0</v>
      </c>
      <c r="J20" s="17">
        <f t="shared" si="4"/>
        <v>0</v>
      </c>
      <c r="K20" s="18">
        <f t="shared" si="5"/>
        <v>0</v>
      </c>
    </row>
    <row r="21" spans="1:11" x14ac:dyDescent="0.25">
      <c r="A21" s="15"/>
      <c r="B21" s="16" t="s">
        <v>33</v>
      </c>
      <c r="C21" s="17">
        <v>1900000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f t="shared" si="3"/>
        <v>0</v>
      </c>
      <c r="J21" s="17">
        <f t="shared" si="4"/>
        <v>0</v>
      </c>
      <c r="K21" s="18">
        <f t="shared" si="5"/>
        <v>0</v>
      </c>
    </row>
    <row r="22" spans="1:11" x14ac:dyDescent="0.25">
      <c r="A22" s="15"/>
      <c r="B22" s="16" t="s">
        <v>34</v>
      </c>
      <c r="C22" s="17">
        <v>2280000</v>
      </c>
      <c r="D22" s="17">
        <v>1920000</v>
      </c>
      <c r="E22" s="17">
        <v>0</v>
      </c>
      <c r="F22" s="17">
        <v>0</v>
      </c>
      <c r="G22" s="17">
        <v>0</v>
      </c>
      <c r="H22" s="17">
        <v>0</v>
      </c>
      <c r="I22" s="17">
        <f t="shared" si="3"/>
        <v>0</v>
      </c>
      <c r="J22" s="17">
        <f t="shared" si="4"/>
        <v>1920000</v>
      </c>
      <c r="K22" s="18">
        <f t="shared" si="5"/>
        <v>0.84210526315789469</v>
      </c>
    </row>
    <row r="23" spans="1:11" x14ac:dyDescent="0.25">
      <c r="A23" s="7" t="s">
        <v>35</v>
      </c>
      <c r="B23" s="8" t="s">
        <v>36</v>
      </c>
      <c r="C23" s="9">
        <v>444270000</v>
      </c>
      <c r="D23" s="9">
        <v>51219000</v>
      </c>
      <c r="E23" s="9">
        <v>2490000</v>
      </c>
      <c r="F23" s="9">
        <v>5433000</v>
      </c>
      <c r="G23" s="9">
        <v>4265000</v>
      </c>
      <c r="H23" s="9">
        <v>6687000</v>
      </c>
      <c r="I23" s="9">
        <f t="shared" si="3"/>
        <v>18875000</v>
      </c>
      <c r="J23" s="9">
        <f t="shared" si="4"/>
        <v>70094000</v>
      </c>
      <c r="K23" s="10">
        <f t="shared" si="5"/>
        <v>0.15777342606973238</v>
      </c>
    </row>
    <row r="24" spans="1:11" x14ac:dyDescent="0.25">
      <c r="A24" s="11" t="s">
        <v>19</v>
      </c>
      <c r="B24" s="12" t="s">
        <v>20</v>
      </c>
      <c r="C24" s="13">
        <v>103354000</v>
      </c>
      <c r="D24" s="13">
        <v>0</v>
      </c>
      <c r="E24" s="13">
        <v>457000</v>
      </c>
      <c r="F24" s="13">
        <v>629000</v>
      </c>
      <c r="G24" s="13">
        <v>702000</v>
      </c>
      <c r="H24" s="13">
        <v>1146000</v>
      </c>
      <c r="I24" s="13">
        <f t="shared" si="3"/>
        <v>2934000</v>
      </c>
      <c r="J24" s="13">
        <f t="shared" si="4"/>
        <v>2934000</v>
      </c>
      <c r="K24" s="14">
        <f t="shared" si="5"/>
        <v>2.8387870812934188E-2</v>
      </c>
    </row>
    <row r="25" spans="1:11" x14ac:dyDescent="0.25">
      <c r="A25" s="15"/>
      <c r="B25" s="16" t="s">
        <v>21</v>
      </c>
      <c r="C25" s="17">
        <v>35000000</v>
      </c>
      <c r="D25" s="17">
        <v>0</v>
      </c>
      <c r="E25" s="17">
        <v>177000</v>
      </c>
      <c r="F25" s="17">
        <v>204000</v>
      </c>
      <c r="G25" s="17">
        <v>327000</v>
      </c>
      <c r="H25" s="17">
        <v>426000</v>
      </c>
      <c r="I25" s="17">
        <f t="shared" si="3"/>
        <v>1134000</v>
      </c>
      <c r="J25" s="17">
        <f t="shared" si="4"/>
        <v>1134000</v>
      </c>
      <c r="K25" s="18">
        <f t="shared" si="5"/>
        <v>3.2399999999999998E-2</v>
      </c>
    </row>
    <row r="26" spans="1:11" x14ac:dyDescent="0.25">
      <c r="A26" s="15"/>
      <c r="B26" s="16" t="s">
        <v>22</v>
      </c>
      <c r="C26" s="17">
        <v>63354000</v>
      </c>
      <c r="D26" s="17">
        <v>0</v>
      </c>
      <c r="E26" s="17">
        <v>280000</v>
      </c>
      <c r="F26" s="17">
        <v>415000</v>
      </c>
      <c r="G26" s="17">
        <v>355000</v>
      </c>
      <c r="H26" s="17">
        <v>710000</v>
      </c>
      <c r="I26" s="17">
        <f t="shared" si="3"/>
        <v>1760000</v>
      </c>
      <c r="J26" s="17">
        <f t="shared" si="4"/>
        <v>1760000</v>
      </c>
      <c r="K26" s="18">
        <f t="shared" si="5"/>
        <v>2.7780408498279507E-2</v>
      </c>
    </row>
    <row r="27" spans="1:11" x14ac:dyDescent="0.25">
      <c r="A27" s="15"/>
      <c r="B27" s="16" t="s">
        <v>23</v>
      </c>
      <c r="C27" s="17">
        <v>5000000</v>
      </c>
      <c r="D27" s="17">
        <v>0</v>
      </c>
      <c r="E27" s="17">
        <v>0</v>
      </c>
      <c r="F27" s="17">
        <v>10000</v>
      </c>
      <c r="G27" s="17">
        <v>20000</v>
      </c>
      <c r="H27" s="17">
        <v>10000</v>
      </c>
      <c r="I27" s="17">
        <f t="shared" si="3"/>
        <v>40000</v>
      </c>
      <c r="J27" s="17">
        <f t="shared" si="4"/>
        <v>40000</v>
      </c>
      <c r="K27" s="18">
        <f t="shared" si="5"/>
        <v>8.0000000000000002E-3</v>
      </c>
    </row>
    <row r="28" spans="1:11" ht="31.5" x14ac:dyDescent="0.25">
      <c r="A28" s="11" t="s">
        <v>24</v>
      </c>
      <c r="B28" s="12" t="s">
        <v>37</v>
      </c>
      <c r="C28" s="13">
        <v>340916000</v>
      </c>
      <c r="D28" s="13">
        <v>51219000</v>
      </c>
      <c r="E28" s="13">
        <v>2033000</v>
      </c>
      <c r="F28" s="13">
        <v>4804000</v>
      </c>
      <c r="G28" s="13">
        <v>3563000</v>
      </c>
      <c r="H28" s="13">
        <v>5541000</v>
      </c>
      <c r="I28" s="13">
        <f t="shared" si="3"/>
        <v>15941000</v>
      </c>
      <c r="J28" s="13">
        <f t="shared" si="4"/>
        <v>67160000</v>
      </c>
      <c r="K28" s="14">
        <f t="shared" si="5"/>
        <v>0.1969986741602037</v>
      </c>
    </row>
    <row r="29" spans="1:11" x14ac:dyDescent="0.25">
      <c r="A29" s="19"/>
      <c r="B29" s="20" t="s">
        <v>38</v>
      </c>
      <c r="C29" s="21"/>
      <c r="D29" s="21"/>
      <c r="E29" s="21"/>
      <c r="F29" s="21"/>
      <c r="G29" s="21"/>
      <c r="H29" s="21"/>
      <c r="I29" s="21"/>
      <c r="J29" s="21"/>
      <c r="K29" s="22"/>
    </row>
    <row r="30" spans="1:11" x14ac:dyDescent="0.25">
      <c r="A30" s="19"/>
      <c r="B30" s="20" t="s">
        <v>39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x14ac:dyDescent="0.25">
      <c r="A31" s="15"/>
      <c r="B31" s="16" t="s">
        <v>40</v>
      </c>
      <c r="C31" s="17">
        <v>213342000</v>
      </c>
      <c r="D31" s="17">
        <v>32646000</v>
      </c>
      <c r="E31" s="17">
        <v>996000</v>
      </c>
      <c r="F31" s="17">
        <v>2286000</v>
      </c>
      <c r="G31" s="17">
        <v>2280000</v>
      </c>
      <c r="H31" s="17">
        <v>2820000</v>
      </c>
      <c r="I31" s="17">
        <f t="shared" ref="I31:I44" si="6">SUM(E31:H31)</f>
        <v>8382000</v>
      </c>
      <c r="J31" s="17">
        <f t="shared" ref="J31:J44" si="7">D31+I31</f>
        <v>41028000</v>
      </c>
      <c r="K31" s="18">
        <f t="shared" ref="K31:K44" si="8">IF(C31=0,"",J31/C31)</f>
        <v>0.19231093736816943</v>
      </c>
    </row>
    <row r="32" spans="1:11" x14ac:dyDescent="0.25">
      <c r="A32" s="15"/>
      <c r="B32" s="16" t="s">
        <v>41</v>
      </c>
      <c r="C32" s="17">
        <v>65000000</v>
      </c>
      <c r="D32" s="17">
        <v>3049000</v>
      </c>
      <c r="E32" s="17">
        <v>132000</v>
      </c>
      <c r="F32" s="17">
        <v>192000</v>
      </c>
      <c r="G32" s="17">
        <v>252000</v>
      </c>
      <c r="H32" s="17">
        <v>204000</v>
      </c>
      <c r="I32" s="17">
        <f t="shared" si="6"/>
        <v>780000</v>
      </c>
      <c r="J32" s="17">
        <f t="shared" si="7"/>
        <v>3829000</v>
      </c>
      <c r="K32" s="18">
        <f t="shared" si="8"/>
        <v>5.8907692307692307E-2</v>
      </c>
    </row>
    <row r="33" spans="1:11" x14ac:dyDescent="0.25">
      <c r="A33" s="15"/>
      <c r="B33" s="16" t="s">
        <v>42</v>
      </c>
      <c r="C33" s="17">
        <v>0</v>
      </c>
      <c r="D33" s="17">
        <v>70000</v>
      </c>
      <c r="E33" s="17">
        <v>30000</v>
      </c>
      <c r="F33" s="17">
        <v>10000</v>
      </c>
      <c r="G33" s="17">
        <v>20000</v>
      </c>
      <c r="H33" s="17">
        <v>40000</v>
      </c>
      <c r="I33" s="17">
        <f t="shared" si="6"/>
        <v>100000</v>
      </c>
      <c r="J33" s="17">
        <f t="shared" si="7"/>
        <v>170000</v>
      </c>
      <c r="K33" s="18" t="str">
        <f t="shared" si="8"/>
        <v/>
      </c>
    </row>
    <row r="34" spans="1:11" x14ac:dyDescent="0.25">
      <c r="A34" s="15"/>
      <c r="B34" s="16" t="s">
        <v>43</v>
      </c>
      <c r="C34" s="17">
        <v>500000</v>
      </c>
      <c r="D34" s="17">
        <v>57000</v>
      </c>
      <c r="E34" s="17">
        <v>0</v>
      </c>
      <c r="F34" s="17">
        <v>0</v>
      </c>
      <c r="G34" s="17">
        <v>0</v>
      </c>
      <c r="H34" s="17">
        <v>0</v>
      </c>
      <c r="I34" s="17">
        <f t="shared" si="6"/>
        <v>0</v>
      </c>
      <c r="J34" s="17">
        <f t="shared" si="7"/>
        <v>57000</v>
      </c>
      <c r="K34" s="18">
        <f t="shared" si="8"/>
        <v>0.114</v>
      </c>
    </row>
    <row r="35" spans="1:11" x14ac:dyDescent="0.25">
      <c r="A35" s="15"/>
      <c r="B35" s="16" t="s">
        <v>44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f t="shared" si="6"/>
        <v>0</v>
      </c>
      <c r="J35" s="17">
        <f t="shared" si="7"/>
        <v>0</v>
      </c>
      <c r="K35" s="18" t="str">
        <f t="shared" si="8"/>
        <v/>
      </c>
    </row>
    <row r="36" spans="1:11" x14ac:dyDescent="0.25">
      <c r="A36" s="15"/>
      <c r="B36" s="16" t="s">
        <v>45</v>
      </c>
      <c r="C36" s="17">
        <v>5874000</v>
      </c>
      <c r="D36" s="17">
        <v>2247000</v>
      </c>
      <c r="E36" s="17">
        <v>0</v>
      </c>
      <c r="F36" s="17">
        <v>16000</v>
      </c>
      <c r="G36" s="17">
        <v>36000</v>
      </c>
      <c r="H36" s="17">
        <v>102000</v>
      </c>
      <c r="I36" s="17">
        <f t="shared" si="6"/>
        <v>154000</v>
      </c>
      <c r="J36" s="17">
        <f t="shared" si="7"/>
        <v>2401000</v>
      </c>
      <c r="K36" s="18">
        <f t="shared" si="8"/>
        <v>0.4087504256043582</v>
      </c>
    </row>
    <row r="37" spans="1:11" x14ac:dyDescent="0.25">
      <c r="A37" s="15"/>
      <c r="B37" s="16" t="s">
        <v>46</v>
      </c>
      <c r="C37" s="17">
        <v>1000000</v>
      </c>
      <c r="D37" s="17">
        <v>450000</v>
      </c>
      <c r="E37" s="17">
        <v>75000</v>
      </c>
      <c r="F37" s="17">
        <v>0</v>
      </c>
      <c r="G37" s="17">
        <v>225000</v>
      </c>
      <c r="H37" s="17">
        <v>75000</v>
      </c>
      <c r="I37" s="17">
        <f t="shared" si="6"/>
        <v>375000</v>
      </c>
      <c r="J37" s="17">
        <f t="shared" si="7"/>
        <v>825000</v>
      </c>
      <c r="K37" s="18">
        <f t="shared" si="8"/>
        <v>0.82499999999999996</v>
      </c>
    </row>
    <row r="38" spans="1:11" x14ac:dyDescent="0.25">
      <c r="A38" s="15"/>
      <c r="B38" s="16" t="s">
        <v>47</v>
      </c>
      <c r="C38" s="17">
        <v>600000</v>
      </c>
      <c r="D38" s="17">
        <v>0</v>
      </c>
      <c r="E38" s="17">
        <v>50000</v>
      </c>
      <c r="F38" s="17">
        <v>50000</v>
      </c>
      <c r="G38" s="17">
        <v>0</v>
      </c>
      <c r="H38" s="17">
        <v>50000</v>
      </c>
      <c r="I38" s="17">
        <f t="shared" si="6"/>
        <v>150000</v>
      </c>
      <c r="J38" s="17">
        <f t="shared" si="7"/>
        <v>150000</v>
      </c>
      <c r="K38" s="18">
        <f t="shared" si="8"/>
        <v>0.25</v>
      </c>
    </row>
    <row r="39" spans="1:11" x14ac:dyDescent="0.25">
      <c r="A39" s="15"/>
      <c r="B39" s="16" t="s">
        <v>48</v>
      </c>
      <c r="C39" s="17">
        <v>53000000</v>
      </c>
      <c r="D39" s="17">
        <v>11750000</v>
      </c>
      <c r="E39" s="17">
        <v>750000</v>
      </c>
      <c r="F39" s="17">
        <v>2250000</v>
      </c>
      <c r="G39" s="17">
        <v>750000</v>
      </c>
      <c r="H39" s="17">
        <v>2250000</v>
      </c>
      <c r="I39" s="17">
        <f t="shared" si="6"/>
        <v>6000000</v>
      </c>
      <c r="J39" s="17">
        <f t="shared" si="7"/>
        <v>17750000</v>
      </c>
      <c r="K39" s="18">
        <f t="shared" si="8"/>
        <v>0.33490566037735847</v>
      </c>
    </row>
    <row r="40" spans="1:11" x14ac:dyDescent="0.25">
      <c r="A40" s="15"/>
      <c r="B40" s="16" t="s">
        <v>49</v>
      </c>
      <c r="C40" s="17">
        <v>600000</v>
      </c>
      <c r="D40" s="17">
        <v>600000</v>
      </c>
      <c r="E40" s="17">
        <v>0</v>
      </c>
      <c r="F40" s="17">
        <v>0</v>
      </c>
      <c r="G40" s="17">
        <v>0</v>
      </c>
      <c r="H40" s="17">
        <v>0</v>
      </c>
      <c r="I40" s="17">
        <f t="shared" si="6"/>
        <v>0</v>
      </c>
      <c r="J40" s="17">
        <f t="shared" si="7"/>
        <v>600000</v>
      </c>
      <c r="K40" s="18">
        <f t="shared" si="8"/>
        <v>1</v>
      </c>
    </row>
    <row r="41" spans="1:11" x14ac:dyDescent="0.25">
      <c r="A41" s="15"/>
      <c r="B41" s="16" t="s">
        <v>50</v>
      </c>
      <c r="C41" s="17">
        <v>1000000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f t="shared" si="6"/>
        <v>0</v>
      </c>
      <c r="J41" s="17">
        <f t="shared" si="7"/>
        <v>0</v>
      </c>
      <c r="K41" s="18">
        <f t="shared" si="8"/>
        <v>0</v>
      </c>
    </row>
    <row r="42" spans="1:11" x14ac:dyDescent="0.25">
      <c r="A42" s="15"/>
      <c r="B42" s="16" t="s">
        <v>51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f t="shared" si="6"/>
        <v>0</v>
      </c>
      <c r="J42" s="17">
        <f t="shared" si="7"/>
        <v>0</v>
      </c>
      <c r="K42" s="18" t="str">
        <f t="shared" si="8"/>
        <v/>
      </c>
    </row>
    <row r="43" spans="1:11" x14ac:dyDescent="0.25">
      <c r="A43" s="15"/>
      <c r="B43" s="16" t="s">
        <v>52</v>
      </c>
      <c r="C43" s="17">
        <v>0</v>
      </c>
      <c r="D43" s="17">
        <v>350000</v>
      </c>
      <c r="E43" s="17">
        <v>0</v>
      </c>
      <c r="F43" s="17">
        <v>0</v>
      </c>
      <c r="G43" s="17">
        <v>0</v>
      </c>
      <c r="H43" s="17">
        <v>0</v>
      </c>
      <c r="I43" s="17">
        <f t="shared" si="6"/>
        <v>0</v>
      </c>
      <c r="J43" s="17">
        <f t="shared" si="7"/>
        <v>350000</v>
      </c>
      <c r="K43" s="18" t="str">
        <f t="shared" si="8"/>
        <v/>
      </c>
    </row>
    <row r="44" spans="1:11" x14ac:dyDescent="0.25">
      <c r="A44" s="23"/>
      <c r="B44" s="24" t="s">
        <v>53</v>
      </c>
      <c r="C44" s="25">
        <v>498800000</v>
      </c>
      <c r="D44" s="25">
        <v>75819000</v>
      </c>
      <c r="E44" s="25">
        <v>2490000</v>
      </c>
      <c r="F44" s="25">
        <v>5433000</v>
      </c>
      <c r="G44" s="25">
        <v>19985000</v>
      </c>
      <c r="H44" s="25">
        <v>6687000</v>
      </c>
      <c r="I44" s="25">
        <f t="shared" si="6"/>
        <v>34595000</v>
      </c>
      <c r="J44" s="25">
        <f t="shared" si="7"/>
        <v>110414000</v>
      </c>
      <c r="K44" s="26">
        <f t="shared" si="8"/>
        <v>0.22135926222935043</v>
      </c>
    </row>
    <row r="47" spans="1:11" x14ac:dyDescent="0.25">
      <c r="B47" s="27" t="s">
        <v>54</v>
      </c>
    </row>
    <row r="48" spans="1:11" ht="31.5" x14ac:dyDescent="0.25">
      <c r="B48" s="6" t="s">
        <v>55</v>
      </c>
      <c r="C48" s="6" t="s">
        <v>56</v>
      </c>
      <c r="D48" s="6" t="s">
        <v>57</v>
      </c>
    </row>
    <row r="49" spans="2:4" x14ac:dyDescent="0.25">
      <c r="B49" s="28" t="s">
        <v>58</v>
      </c>
      <c r="C49" s="29">
        <v>54530000</v>
      </c>
      <c r="D49" s="29">
        <v>40320000</v>
      </c>
    </row>
    <row r="50" spans="2:4" x14ac:dyDescent="0.25">
      <c r="B50" s="28" t="s">
        <v>59</v>
      </c>
      <c r="C50" s="29">
        <v>444270000</v>
      </c>
      <c r="D50" s="29">
        <v>70094000</v>
      </c>
    </row>
    <row r="51" spans="2:4" x14ac:dyDescent="0.25">
      <c r="B51" s="28" t="s">
        <v>53</v>
      </c>
      <c r="C51" s="29">
        <v>498800000</v>
      </c>
      <c r="D51" s="29">
        <v>110414000</v>
      </c>
    </row>
    <row r="66" spans="2:4" x14ac:dyDescent="0.25">
      <c r="B66" s="27" t="s">
        <v>60</v>
      </c>
    </row>
    <row r="67" spans="2:4" x14ac:dyDescent="0.25">
      <c r="B67" s="6" t="s">
        <v>61</v>
      </c>
      <c r="C67" s="6" t="s">
        <v>62</v>
      </c>
      <c r="D67" s="6" t="s">
        <v>59</v>
      </c>
    </row>
    <row r="68" spans="2:4" x14ac:dyDescent="0.25">
      <c r="B68" s="28" t="s">
        <v>63</v>
      </c>
      <c r="C68" s="29">
        <v>0</v>
      </c>
      <c r="D68" s="29">
        <v>2490000</v>
      </c>
    </row>
    <row r="69" spans="2:4" x14ac:dyDescent="0.25">
      <c r="B69" s="28" t="s">
        <v>64</v>
      </c>
      <c r="C69" s="29">
        <v>0</v>
      </c>
      <c r="D69" s="29">
        <v>5433000</v>
      </c>
    </row>
    <row r="70" spans="2:4" x14ac:dyDescent="0.25">
      <c r="B70" s="28" t="s">
        <v>65</v>
      </c>
      <c r="C70" s="29">
        <v>15720000</v>
      </c>
      <c r="D70" s="29">
        <v>4265000</v>
      </c>
    </row>
    <row r="71" spans="2:4" x14ac:dyDescent="0.25">
      <c r="B71" s="28" t="s">
        <v>66</v>
      </c>
      <c r="C71" s="29">
        <v>0</v>
      </c>
      <c r="D71" s="29">
        <v>6687000</v>
      </c>
    </row>
    <row r="85" spans="2:4" x14ac:dyDescent="0.25">
      <c r="B85" s="27" t="s">
        <v>67</v>
      </c>
    </row>
    <row r="86" spans="2:4" ht="31.5" x14ac:dyDescent="0.25">
      <c r="B86" s="6" t="s">
        <v>68</v>
      </c>
      <c r="C86" s="6" t="s">
        <v>56</v>
      </c>
      <c r="D86" s="6" t="s">
        <v>57</v>
      </c>
    </row>
    <row r="87" spans="2:4" x14ac:dyDescent="0.25">
      <c r="B87" s="28" t="s">
        <v>69</v>
      </c>
      <c r="C87" s="29">
        <v>45600000</v>
      </c>
      <c r="D87" s="29">
        <v>38400000</v>
      </c>
    </row>
    <row r="88" spans="2:4" x14ac:dyDescent="0.25">
      <c r="B88" s="28" t="s">
        <v>70</v>
      </c>
      <c r="C88" s="29">
        <v>2280000</v>
      </c>
      <c r="D88" s="29">
        <v>1920000</v>
      </c>
    </row>
    <row r="89" spans="2:4" x14ac:dyDescent="0.25">
      <c r="B89" s="28" t="s">
        <v>71</v>
      </c>
      <c r="C89" s="29">
        <v>103354000</v>
      </c>
      <c r="D89" s="29">
        <v>2934000</v>
      </c>
    </row>
    <row r="90" spans="2:4" x14ac:dyDescent="0.25">
      <c r="B90" s="28" t="s">
        <v>72</v>
      </c>
      <c r="C90" s="29">
        <v>278342000</v>
      </c>
      <c r="D90" s="29">
        <v>45027000</v>
      </c>
    </row>
    <row r="91" spans="2:4" x14ac:dyDescent="0.25">
      <c r="B91" s="28" t="s">
        <v>73</v>
      </c>
      <c r="C91" s="29">
        <v>53000000</v>
      </c>
      <c r="D91" s="29">
        <v>17750000</v>
      </c>
    </row>
    <row r="92" spans="2:4" x14ac:dyDescent="0.25">
      <c r="B92" s="28" t="s">
        <v>74</v>
      </c>
      <c r="C92" s="29">
        <v>5874000</v>
      </c>
      <c r="D92" s="29">
        <v>2401000</v>
      </c>
    </row>
    <row r="93" spans="2:4" x14ac:dyDescent="0.25">
      <c r="B93" s="28" t="s">
        <v>75</v>
      </c>
      <c r="C93" s="29">
        <v>1600000</v>
      </c>
      <c r="D93" s="29">
        <v>975000</v>
      </c>
    </row>
    <row r="94" spans="2:4" x14ac:dyDescent="0.25">
      <c r="B94" s="28" t="s">
        <v>76</v>
      </c>
      <c r="C94" s="29">
        <v>2100000</v>
      </c>
      <c r="D94" s="29">
        <v>1007000</v>
      </c>
    </row>
    <row r="108" spans="2:4" x14ac:dyDescent="0.25">
      <c r="B108" s="30" t="s">
        <v>77</v>
      </c>
    </row>
    <row r="109" spans="2:4" ht="30" customHeight="1" x14ac:dyDescent="0.25">
      <c r="B109" s="31" t="s">
        <v>78</v>
      </c>
      <c r="C109" s="2"/>
      <c r="D109" s="2"/>
    </row>
    <row r="110" spans="2:4" ht="30" customHeight="1" x14ac:dyDescent="0.25">
      <c r="B110" s="31" t="s">
        <v>79</v>
      </c>
      <c r="C110" s="2"/>
      <c r="D110" s="2"/>
    </row>
    <row r="111" spans="2:4" ht="30" customHeight="1" x14ac:dyDescent="0.25">
      <c r="B111" s="31" t="s">
        <v>80</v>
      </c>
      <c r="C111" s="2"/>
      <c r="D111" s="2"/>
    </row>
    <row r="112" spans="2:4" ht="30" customHeight="1" x14ac:dyDescent="0.25">
      <c r="B112" s="31" t="s">
        <v>81</v>
      </c>
      <c r="C112" s="2"/>
      <c r="D112" s="2"/>
    </row>
  </sheetData>
  <mergeCells count="16">
    <mergeCell ref="B112:D112"/>
    <mergeCell ref="A4:K4"/>
    <mergeCell ref="A3:K3"/>
    <mergeCell ref="B109:D109"/>
    <mergeCell ref="B110:D110"/>
    <mergeCell ref="E6:H6"/>
    <mergeCell ref="A1:K1"/>
    <mergeCell ref="B111:D111"/>
    <mergeCell ref="A2:K2"/>
    <mergeCell ref="I6:I7"/>
    <mergeCell ref="J6:J7"/>
    <mergeCell ref="K6:K7"/>
    <mergeCell ref="C6:C7"/>
    <mergeCell ref="A6:A7"/>
    <mergeCell ref="D6:D7"/>
    <mergeCell ref="B6:B7"/>
  </mergeCells>
  <pageMargins left="0.75" right="0.75" top="1" bottom="1" header="0.5" footer="0.5"/>
  <pageSetup paperSize="14" scale="63" fitToHeight="3" orientation="landscape" r:id="rId1"/>
  <rowBreaks count="2" manualBreakCount="2">
    <brk id="44" max="16383" man="1"/>
    <brk id="8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K112"/>
  <sheetViews>
    <sheetView showGridLines="0" tabSelected="1" view="pageBreakPreview" zoomScale="60" zoomScaleNormal="100" workbookViewId="0">
      <pane xSplit="2" ySplit="7" topLeftCell="C8" activePane="bottomRight" state="frozen"/>
      <selection pane="topRight"/>
      <selection pane="bottomLeft"/>
      <selection pane="bottomRight" activeCell="T35" sqref="T35"/>
    </sheetView>
  </sheetViews>
  <sheetFormatPr defaultRowHeight="15.75" x14ac:dyDescent="0.25"/>
  <cols>
    <col min="1" max="1" width="5" style="4" customWidth="1"/>
    <col min="2" max="2" width="54" style="4" customWidth="1"/>
    <col min="3" max="10" width="15.42578125" style="4" customWidth="1"/>
    <col min="11" max="11" width="10" style="4" customWidth="1"/>
    <col min="12" max="16384" width="9.140625" style="4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82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3" t="s">
        <v>4</v>
      </c>
    </row>
    <row r="6" spans="1:11" ht="21.95" customHeigh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/>
      <c r="G6" s="5"/>
      <c r="H6" s="5"/>
      <c r="I6" s="5" t="s">
        <v>10</v>
      </c>
      <c r="J6" s="5" t="s">
        <v>11</v>
      </c>
      <c r="K6" s="5" t="s">
        <v>12</v>
      </c>
    </row>
    <row r="7" spans="1:11" ht="21.95" customHeight="1" x14ac:dyDescent="0.25">
      <c r="A7" s="5"/>
      <c r="B7" s="5"/>
      <c r="C7" s="5"/>
      <c r="D7" s="5"/>
      <c r="E7" s="6" t="s">
        <v>13</v>
      </c>
      <c r="F7" s="6" t="s">
        <v>14</v>
      </c>
      <c r="G7" s="6" t="s">
        <v>15</v>
      </c>
      <c r="H7" s="6" t="s">
        <v>16</v>
      </c>
      <c r="I7" s="5"/>
      <c r="J7" s="5"/>
      <c r="K7" s="5"/>
    </row>
    <row r="8" spans="1:11" x14ac:dyDescent="0.25">
      <c r="A8" s="7" t="s">
        <v>17</v>
      </c>
      <c r="B8" s="8" t="s">
        <v>18</v>
      </c>
      <c r="C8" s="9">
        <v>54530000</v>
      </c>
      <c r="D8" s="9">
        <v>40320000</v>
      </c>
      <c r="E8" s="9">
        <v>0</v>
      </c>
      <c r="F8" s="9">
        <v>0</v>
      </c>
      <c r="G8" s="9">
        <v>0</v>
      </c>
      <c r="H8" s="9">
        <v>0</v>
      </c>
      <c r="I8" s="9">
        <f t="shared" ref="I8:I13" si="0">SUM(E8:H8)</f>
        <v>0</v>
      </c>
      <c r="J8" s="9">
        <f t="shared" ref="J8:J13" si="1">D8+I8</f>
        <v>40320000</v>
      </c>
      <c r="K8" s="10">
        <f t="shared" ref="K8:K13" si="2">IF(C8=0,"",J8/C8)</f>
        <v>0.73940949935815148</v>
      </c>
    </row>
    <row r="9" spans="1:11" x14ac:dyDescent="0.25">
      <c r="A9" s="11" t="s">
        <v>19</v>
      </c>
      <c r="B9" s="12" t="s">
        <v>20</v>
      </c>
      <c r="C9" s="13">
        <v>4750000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f t="shared" si="0"/>
        <v>0</v>
      </c>
      <c r="J9" s="13">
        <f t="shared" si="1"/>
        <v>0</v>
      </c>
      <c r="K9" s="14">
        <f t="shared" si="2"/>
        <v>0</v>
      </c>
    </row>
    <row r="10" spans="1:11" x14ac:dyDescent="0.25">
      <c r="A10" s="15"/>
      <c r="B10" s="16" t="s">
        <v>21</v>
      </c>
      <c r="C10" s="17">
        <v>1500000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f t="shared" si="0"/>
        <v>0</v>
      </c>
      <c r="J10" s="17">
        <f t="shared" si="1"/>
        <v>0</v>
      </c>
      <c r="K10" s="18">
        <f t="shared" si="2"/>
        <v>0</v>
      </c>
    </row>
    <row r="11" spans="1:11" x14ac:dyDescent="0.25">
      <c r="A11" s="15"/>
      <c r="B11" s="16" t="s">
        <v>22</v>
      </c>
      <c r="C11" s="17">
        <v>2500000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f t="shared" si="0"/>
        <v>0</v>
      </c>
      <c r="J11" s="17">
        <f t="shared" si="1"/>
        <v>0</v>
      </c>
      <c r="K11" s="18">
        <f t="shared" si="2"/>
        <v>0</v>
      </c>
    </row>
    <row r="12" spans="1:11" x14ac:dyDescent="0.25">
      <c r="A12" s="15"/>
      <c r="B12" s="16" t="s">
        <v>23</v>
      </c>
      <c r="C12" s="17">
        <v>750000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f t="shared" si="0"/>
        <v>0</v>
      </c>
      <c r="J12" s="17">
        <f t="shared" si="1"/>
        <v>0</v>
      </c>
      <c r="K12" s="18">
        <f t="shared" si="2"/>
        <v>0</v>
      </c>
    </row>
    <row r="13" spans="1:11" ht="31.5" x14ac:dyDescent="0.25">
      <c r="A13" s="11" t="s">
        <v>24</v>
      </c>
      <c r="B13" s="12" t="s">
        <v>25</v>
      </c>
      <c r="C13" s="13">
        <v>49780000</v>
      </c>
      <c r="D13" s="13">
        <v>40320000</v>
      </c>
      <c r="E13" s="13">
        <v>0</v>
      </c>
      <c r="F13" s="13">
        <v>0</v>
      </c>
      <c r="G13" s="13">
        <v>0</v>
      </c>
      <c r="H13" s="13">
        <v>0</v>
      </c>
      <c r="I13" s="13">
        <f t="shared" si="0"/>
        <v>0</v>
      </c>
      <c r="J13" s="13">
        <f t="shared" si="1"/>
        <v>40320000</v>
      </c>
      <c r="K13" s="14">
        <f t="shared" si="2"/>
        <v>0.80996384089995987</v>
      </c>
    </row>
    <row r="14" spans="1:11" x14ac:dyDescent="0.25">
      <c r="A14" s="19"/>
      <c r="B14" s="20" t="s">
        <v>26</v>
      </c>
      <c r="C14" s="21"/>
      <c r="D14" s="21"/>
      <c r="E14" s="21"/>
      <c r="F14" s="21"/>
      <c r="G14" s="21"/>
      <c r="H14" s="21"/>
      <c r="I14" s="21"/>
      <c r="J14" s="21"/>
      <c r="K14" s="22"/>
    </row>
    <row r="15" spans="1:11" x14ac:dyDescent="0.25">
      <c r="A15" s="15"/>
      <c r="B15" s="16" t="s">
        <v>27</v>
      </c>
      <c r="C15" s="17">
        <v>45600000</v>
      </c>
      <c r="D15" s="17">
        <v>38400000</v>
      </c>
      <c r="E15" s="17">
        <v>0</v>
      </c>
      <c r="F15" s="17">
        <v>0</v>
      </c>
      <c r="G15" s="17">
        <v>0</v>
      </c>
      <c r="H15" s="17">
        <v>0</v>
      </c>
      <c r="I15" s="17">
        <f t="shared" ref="I15:I28" si="3">SUM(E15:H15)</f>
        <v>0</v>
      </c>
      <c r="J15" s="17">
        <f t="shared" ref="J15:J28" si="4">D15+I15</f>
        <v>38400000</v>
      </c>
      <c r="K15" s="18">
        <f t="shared" ref="K15:K28" si="5">IF(C15=0,"",J15/C15)</f>
        <v>0.84210526315789469</v>
      </c>
    </row>
    <row r="16" spans="1:11" x14ac:dyDescent="0.25">
      <c r="A16" s="15"/>
      <c r="B16" s="16" t="s">
        <v>28</v>
      </c>
      <c r="C16" s="17">
        <v>19000000</v>
      </c>
      <c r="D16" s="17">
        <v>16000000</v>
      </c>
      <c r="E16" s="17">
        <v>0</v>
      </c>
      <c r="F16" s="17">
        <v>0</v>
      </c>
      <c r="G16" s="17">
        <v>0</v>
      </c>
      <c r="H16" s="17">
        <v>0</v>
      </c>
      <c r="I16" s="17">
        <f t="shared" si="3"/>
        <v>0</v>
      </c>
      <c r="J16" s="17">
        <f t="shared" si="4"/>
        <v>16000000</v>
      </c>
      <c r="K16" s="18">
        <f t="shared" si="5"/>
        <v>0.84210526315789469</v>
      </c>
    </row>
    <row r="17" spans="1:11" x14ac:dyDescent="0.25">
      <c r="A17" s="15"/>
      <c r="B17" s="16" t="s">
        <v>29</v>
      </c>
      <c r="C17" s="17">
        <v>15200000</v>
      </c>
      <c r="D17" s="17">
        <v>12800000</v>
      </c>
      <c r="E17" s="17">
        <v>0</v>
      </c>
      <c r="F17" s="17">
        <v>0</v>
      </c>
      <c r="G17" s="17">
        <v>0</v>
      </c>
      <c r="H17" s="17">
        <v>0</v>
      </c>
      <c r="I17" s="17">
        <f t="shared" si="3"/>
        <v>0</v>
      </c>
      <c r="J17" s="17">
        <f t="shared" si="4"/>
        <v>12800000</v>
      </c>
      <c r="K17" s="18">
        <f t="shared" si="5"/>
        <v>0.84210526315789469</v>
      </c>
    </row>
    <row r="18" spans="1:11" x14ac:dyDescent="0.25">
      <c r="A18" s="15"/>
      <c r="B18" s="16" t="s">
        <v>30</v>
      </c>
      <c r="C18" s="17">
        <v>11400000</v>
      </c>
      <c r="D18" s="17">
        <v>9600000</v>
      </c>
      <c r="E18" s="17">
        <v>0</v>
      </c>
      <c r="F18" s="17">
        <v>0</v>
      </c>
      <c r="G18" s="17">
        <v>0</v>
      </c>
      <c r="H18" s="17">
        <v>0</v>
      </c>
      <c r="I18" s="17">
        <f t="shared" si="3"/>
        <v>0</v>
      </c>
      <c r="J18" s="17">
        <f t="shared" si="4"/>
        <v>9600000</v>
      </c>
      <c r="K18" s="18">
        <f t="shared" si="5"/>
        <v>0.84210526315789469</v>
      </c>
    </row>
    <row r="19" spans="1:11" x14ac:dyDescent="0.25">
      <c r="A19" s="15"/>
      <c r="B19" s="16" t="s">
        <v>31</v>
      </c>
      <c r="C19" s="17">
        <v>5700000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f t="shared" si="3"/>
        <v>0</v>
      </c>
      <c r="J19" s="17">
        <f t="shared" si="4"/>
        <v>0</v>
      </c>
      <c r="K19" s="18">
        <f t="shared" si="5"/>
        <v>0</v>
      </c>
    </row>
    <row r="20" spans="1:11" x14ac:dyDescent="0.25">
      <c r="A20" s="15"/>
      <c r="B20" s="16" t="s">
        <v>32</v>
      </c>
      <c r="C20" s="17">
        <v>7980000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f t="shared" si="3"/>
        <v>0</v>
      </c>
      <c r="J20" s="17">
        <f t="shared" si="4"/>
        <v>0</v>
      </c>
      <c r="K20" s="18">
        <f t="shared" si="5"/>
        <v>0</v>
      </c>
    </row>
    <row r="21" spans="1:11" x14ac:dyDescent="0.25">
      <c r="A21" s="15"/>
      <c r="B21" s="16" t="s">
        <v>33</v>
      </c>
      <c r="C21" s="17">
        <v>1900000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f t="shared" si="3"/>
        <v>0</v>
      </c>
      <c r="J21" s="17">
        <f t="shared" si="4"/>
        <v>0</v>
      </c>
      <c r="K21" s="18">
        <f t="shared" si="5"/>
        <v>0</v>
      </c>
    </row>
    <row r="22" spans="1:11" x14ac:dyDescent="0.25">
      <c r="A22" s="15"/>
      <c r="B22" s="16" t="s">
        <v>34</v>
      </c>
      <c r="C22" s="17">
        <v>2280000</v>
      </c>
      <c r="D22" s="17">
        <v>1920000</v>
      </c>
      <c r="E22" s="17">
        <v>0</v>
      </c>
      <c r="F22" s="17">
        <v>0</v>
      </c>
      <c r="G22" s="17">
        <v>0</v>
      </c>
      <c r="H22" s="17">
        <v>0</v>
      </c>
      <c r="I22" s="17">
        <f t="shared" si="3"/>
        <v>0</v>
      </c>
      <c r="J22" s="17">
        <f t="shared" si="4"/>
        <v>1920000</v>
      </c>
      <c r="K22" s="18">
        <f t="shared" si="5"/>
        <v>0.84210526315789469</v>
      </c>
    </row>
    <row r="23" spans="1:11" x14ac:dyDescent="0.25">
      <c r="A23" s="7" t="s">
        <v>35</v>
      </c>
      <c r="B23" s="8" t="s">
        <v>36</v>
      </c>
      <c r="C23" s="9">
        <v>444270000</v>
      </c>
      <c r="D23" s="9">
        <v>70094000</v>
      </c>
      <c r="E23" s="9">
        <v>170000</v>
      </c>
      <c r="F23" s="9">
        <v>2269000</v>
      </c>
      <c r="G23" s="9">
        <v>1461000</v>
      </c>
      <c r="H23" s="9">
        <v>2349000</v>
      </c>
      <c r="I23" s="9">
        <f t="shared" si="3"/>
        <v>6249000</v>
      </c>
      <c r="J23" s="9">
        <f t="shared" si="4"/>
        <v>76343000</v>
      </c>
      <c r="K23" s="10">
        <f t="shared" si="5"/>
        <v>0.17183919688477728</v>
      </c>
    </row>
    <row r="24" spans="1:11" x14ac:dyDescent="0.25">
      <c r="A24" s="11" t="s">
        <v>19</v>
      </c>
      <c r="B24" s="12" t="s">
        <v>20</v>
      </c>
      <c r="C24" s="13">
        <v>103354000</v>
      </c>
      <c r="D24" s="13">
        <v>2934000</v>
      </c>
      <c r="E24" s="13">
        <v>59000</v>
      </c>
      <c r="F24" s="13">
        <v>414000</v>
      </c>
      <c r="G24" s="13">
        <v>423000</v>
      </c>
      <c r="H24" s="13">
        <v>405000</v>
      </c>
      <c r="I24" s="13">
        <f t="shared" si="3"/>
        <v>1301000</v>
      </c>
      <c r="J24" s="13">
        <f t="shared" si="4"/>
        <v>4235000</v>
      </c>
      <c r="K24" s="14">
        <f t="shared" si="5"/>
        <v>4.0975675832575421E-2</v>
      </c>
    </row>
    <row r="25" spans="1:11" x14ac:dyDescent="0.25">
      <c r="A25" s="15"/>
      <c r="B25" s="16" t="s">
        <v>21</v>
      </c>
      <c r="C25" s="17">
        <v>35000000</v>
      </c>
      <c r="D25" s="17">
        <v>1134000</v>
      </c>
      <c r="E25" s="17">
        <v>24000</v>
      </c>
      <c r="F25" s="17">
        <v>144000</v>
      </c>
      <c r="G25" s="17">
        <v>168000</v>
      </c>
      <c r="H25" s="17">
        <v>165000</v>
      </c>
      <c r="I25" s="17">
        <f t="shared" si="3"/>
        <v>501000</v>
      </c>
      <c r="J25" s="17">
        <f t="shared" si="4"/>
        <v>1635000</v>
      </c>
      <c r="K25" s="18">
        <f t="shared" si="5"/>
        <v>4.6714285714285715E-2</v>
      </c>
    </row>
    <row r="26" spans="1:11" x14ac:dyDescent="0.25">
      <c r="A26" s="15"/>
      <c r="B26" s="16" t="s">
        <v>22</v>
      </c>
      <c r="C26" s="17">
        <v>63354000</v>
      </c>
      <c r="D26" s="17">
        <v>1760000</v>
      </c>
      <c r="E26" s="17">
        <v>35000</v>
      </c>
      <c r="F26" s="17">
        <v>270000</v>
      </c>
      <c r="G26" s="17">
        <v>255000</v>
      </c>
      <c r="H26" s="17">
        <v>230000</v>
      </c>
      <c r="I26" s="17">
        <f t="shared" si="3"/>
        <v>790000</v>
      </c>
      <c r="J26" s="17">
        <f t="shared" si="4"/>
        <v>2550000</v>
      </c>
      <c r="K26" s="18">
        <f t="shared" si="5"/>
        <v>4.0250023676484517E-2</v>
      </c>
    </row>
    <row r="27" spans="1:11" x14ac:dyDescent="0.25">
      <c r="A27" s="15"/>
      <c r="B27" s="16" t="s">
        <v>23</v>
      </c>
      <c r="C27" s="17">
        <v>5000000</v>
      </c>
      <c r="D27" s="17">
        <v>40000</v>
      </c>
      <c r="E27" s="17">
        <v>0</v>
      </c>
      <c r="F27" s="17">
        <v>0</v>
      </c>
      <c r="G27" s="17">
        <v>0</v>
      </c>
      <c r="H27" s="17">
        <v>10000</v>
      </c>
      <c r="I27" s="17">
        <f t="shared" si="3"/>
        <v>10000</v>
      </c>
      <c r="J27" s="17">
        <f t="shared" si="4"/>
        <v>50000</v>
      </c>
      <c r="K27" s="18">
        <f t="shared" si="5"/>
        <v>0.01</v>
      </c>
    </row>
    <row r="28" spans="1:11" ht="31.5" x14ac:dyDescent="0.25">
      <c r="A28" s="11" t="s">
        <v>24</v>
      </c>
      <c r="B28" s="12" t="s">
        <v>37</v>
      </c>
      <c r="C28" s="13">
        <v>340916000</v>
      </c>
      <c r="D28" s="13">
        <v>67160000</v>
      </c>
      <c r="E28" s="13">
        <v>111000</v>
      </c>
      <c r="F28" s="13">
        <v>1855000</v>
      </c>
      <c r="G28" s="13">
        <v>1038000</v>
      </c>
      <c r="H28" s="13">
        <v>1944000</v>
      </c>
      <c r="I28" s="13">
        <f t="shared" si="3"/>
        <v>4948000</v>
      </c>
      <c r="J28" s="13">
        <f t="shared" si="4"/>
        <v>72108000</v>
      </c>
      <c r="K28" s="14">
        <f t="shared" si="5"/>
        <v>0.21151251334639617</v>
      </c>
    </row>
    <row r="29" spans="1:11" x14ac:dyDescent="0.25">
      <c r="A29" s="19"/>
      <c r="B29" s="20" t="s">
        <v>38</v>
      </c>
      <c r="C29" s="21"/>
      <c r="D29" s="21"/>
      <c r="E29" s="21"/>
      <c r="F29" s="21"/>
      <c r="G29" s="21"/>
      <c r="H29" s="21"/>
      <c r="I29" s="21"/>
      <c r="J29" s="21"/>
      <c r="K29" s="22"/>
    </row>
    <row r="30" spans="1:11" x14ac:dyDescent="0.25">
      <c r="A30" s="19"/>
      <c r="B30" s="20" t="s">
        <v>39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x14ac:dyDescent="0.25">
      <c r="A31" s="15"/>
      <c r="B31" s="16" t="s">
        <v>40</v>
      </c>
      <c r="C31" s="17">
        <v>213342000</v>
      </c>
      <c r="D31" s="17">
        <v>41028000</v>
      </c>
      <c r="E31" s="17">
        <v>96000</v>
      </c>
      <c r="F31" s="17">
        <v>966000</v>
      </c>
      <c r="G31" s="17">
        <v>912000</v>
      </c>
      <c r="H31" s="17">
        <v>966000</v>
      </c>
      <c r="I31" s="17">
        <f t="shared" ref="I31:I44" si="6">SUM(E31:H31)</f>
        <v>2940000</v>
      </c>
      <c r="J31" s="17">
        <f t="shared" ref="J31:J44" si="7">D31+I31</f>
        <v>43968000</v>
      </c>
      <c r="K31" s="18">
        <f t="shared" ref="K31:K44" si="8">IF(C31=0,"",J31/C31)</f>
        <v>0.20609162752763169</v>
      </c>
    </row>
    <row r="32" spans="1:11" x14ac:dyDescent="0.25">
      <c r="A32" s="15"/>
      <c r="B32" s="16" t="s">
        <v>41</v>
      </c>
      <c r="C32" s="17">
        <v>65000000</v>
      </c>
      <c r="D32" s="17">
        <v>3829000</v>
      </c>
      <c r="E32" s="17">
        <v>15000</v>
      </c>
      <c r="F32" s="17">
        <v>99000</v>
      </c>
      <c r="G32" s="17">
        <v>126000</v>
      </c>
      <c r="H32" s="17">
        <v>129000</v>
      </c>
      <c r="I32" s="17">
        <f t="shared" si="6"/>
        <v>369000</v>
      </c>
      <c r="J32" s="17">
        <f t="shared" si="7"/>
        <v>4198000</v>
      </c>
      <c r="K32" s="18">
        <f t="shared" si="8"/>
        <v>6.4584615384615379E-2</v>
      </c>
    </row>
    <row r="33" spans="1:11" x14ac:dyDescent="0.25">
      <c r="A33" s="15"/>
      <c r="B33" s="16" t="s">
        <v>42</v>
      </c>
      <c r="C33" s="17">
        <v>0</v>
      </c>
      <c r="D33" s="17">
        <v>170000</v>
      </c>
      <c r="E33" s="17">
        <v>0</v>
      </c>
      <c r="F33" s="17">
        <v>0</v>
      </c>
      <c r="G33" s="17">
        <v>0</v>
      </c>
      <c r="H33" s="17">
        <v>0</v>
      </c>
      <c r="I33" s="17">
        <f t="shared" si="6"/>
        <v>0</v>
      </c>
      <c r="J33" s="17">
        <f t="shared" si="7"/>
        <v>170000</v>
      </c>
      <c r="K33" s="18" t="str">
        <f t="shared" si="8"/>
        <v/>
      </c>
    </row>
    <row r="34" spans="1:11" x14ac:dyDescent="0.25">
      <c r="A34" s="15"/>
      <c r="B34" s="16" t="s">
        <v>43</v>
      </c>
      <c r="C34" s="17">
        <v>500000</v>
      </c>
      <c r="D34" s="17">
        <v>57000</v>
      </c>
      <c r="E34" s="17">
        <v>0</v>
      </c>
      <c r="F34" s="17">
        <v>0</v>
      </c>
      <c r="G34" s="17">
        <v>0</v>
      </c>
      <c r="H34" s="17">
        <v>0</v>
      </c>
      <c r="I34" s="17">
        <f t="shared" si="6"/>
        <v>0</v>
      </c>
      <c r="J34" s="17">
        <f t="shared" si="7"/>
        <v>57000</v>
      </c>
      <c r="K34" s="18">
        <f t="shared" si="8"/>
        <v>0.114</v>
      </c>
    </row>
    <row r="35" spans="1:11" x14ac:dyDescent="0.25">
      <c r="A35" s="15"/>
      <c r="B35" s="16" t="s">
        <v>44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f t="shared" si="6"/>
        <v>0</v>
      </c>
      <c r="J35" s="17">
        <f t="shared" si="7"/>
        <v>0</v>
      </c>
      <c r="K35" s="18" t="str">
        <f t="shared" si="8"/>
        <v/>
      </c>
    </row>
    <row r="36" spans="1:11" x14ac:dyDescent="0.25">
      <c r="A36" s="15"/>
      <c r="B36" s="16" t="s">
        <v>45</v>
      </c>
      <c r="C36" s="17">
        <v>5874000</v>
      </c>
      <c r="D36" s="17">
        <v>2401000</v>
      </c>
      <c r="E36" s="17">
        <v>0</v>
      </c>
      <c r="F36" s="17">
        <v>40000</v>
      </c>
      <c r="G36" s="17">
        <v>0</v>
      </c>
      <c r="H36" s="17">
        <v>24000</v>
      </c>
      <c r="I36" s="17">
        <f t="shared" si="6"/>
        <v>64000</v>
      </c>
      <c r="J36" s="17">
        <f t="shared" si="7"/>
        <v>2465000</v>
      </c>
      <c r="K36" s="18">
        <f t="shared" si="8"/>
        <v>0.41964589717398704</v>
      </c>
    </row>
    <row r="37" spans="1:11" x14ac:dyDescent="0.25">
      <c r="A37" s="15"/>
      <c r="B37" s="16" t="s">
        <v>46</v>
      </c>
      <c r="C37" s="17">
        <v>1000000</v>
      </c>
      <c r="D37" s="17">
        <v>825000</v>
      </c>
      <c r="E37" s="17">
        <v>0</v>
      </c>
      <c r="F37" s="17">
        <v>0</v>
      </c>
      <c r="G37" s="17">
        <v>0</v>
      </c>
      <c r="H37" s="17">
        <v>75000</v>
      </c>
      <c r="I37" s="17">
        <f t="shared" si="6"/>
        <v>75000</v>
      </c>
      <c r="J37" s="17">
        <f t="shared" si="7"/>
        <v>900000</v>
      </c>
      <c r="K37" s="18">
        <f t="shared" si="8"/>
        <v>0.9</v>
      </c>
    </row>
    <row r="38" spans="1:11" x14ac:dyDescent="0.25">
      <c r="A38" s="15"/>
      <c r="B38" s="16" t="s">
        <v>47</v>
      </c>
      <c r="C38" s="17">
        <v>600000</v>
      </c>
      <c r="D38" s="17">
        <v>150000</v>
      </c>
      <c r="E38" s="17">
        <v>0</v>
      </c>
      <c r="F38" s="17">
        <v>0</v>
      </c>
      <c r="G38" s="17">
        <v>0</v>
      </c>
      <c r="H38" s="17">
        <v>0</v>
      </c>
      <c r="I38" s="17">
        <f t="shared" si="6"/>
        <v>0</v>
      </c>
      <c r="J38" s="17">
        <f t="shared" si="7"/>
        <v>150000</v>
      </c>
      <c r="K38" s="18">
        <f t="shared" si="8"/>
        <v>0.25</v>
      </c>
    </row>
    <row r="39" spans="1:11" x14ac:dyDescent="0.25">
      <c r="A39" s="15"/>
      <c r="B39" s="16" t="s">
        <v>48</v>
      </c>
      <c r="C39" s="17">
        <v>53000000</v>
      </c>
      <c r="D39" s="17">
        <v>17750000</v>
      </c>
      <c r="E39" s="17">
        <v>0</v>
      </c>
      <c r="F39" s="17">
        <v>750000</v>
      </c>
      <c r="G39" s="17">
        <v>0</v>
      </c>
      <c r="H39" s="17">
        <v>750000</v>
      </c>
      <c r="I39" s="17">
        <f t="shared" si="6"/>
        <v>1500000</v>
      </c>
      <c r="J39" s="17">
        <f t="shared" si="7"/>
        <v>19250000</v>
      </c>
      <c r="K39" s="18">
        <f t="shared" si="8"/>
        <v>0.3632075471698113</v>
      </c>
    </row>
    <row r="40" spans="1:11" x14ac:dyDescent="0.25">
      <c r="A40" s="15"/>
      <c r="B40" s="16" t="s">
        <v>49</v>
      </c>
      <c r="C40" s="17">
        <v>600000</v>
      </c>
      <c r="D40" s="17">
        <v>600000</v>
      </c>
      <c r="E40" s="17">
        <v>0</v>
      </c>
      <c r="F40" s="17">
        <v>0</v>
      </c>
      <c r="G40" s="17">
        <v>0</v>
      </c>
      <c r="H40" s="17">
        <v>0</v>
      </c>
      <c r="I40" s="17">
        <f t="shared" si="6"/>
        <v>0</v>
      </c>
      <c r="J40" s="17">
        <f t="shared" si="7"/>
        <v>600000</v>
      </c>
      <c r="K40" s="18">
        <f t="shared" si="8"/>
        <v>1</v>
      </c>
    </row>
    <row r="41" spans="1:11" x14ac:dyDescent="0.25">
      <c r="A41" s="15"/>
      <c r="B41" s="16" t="s">
        <v>50</v>
      </c>
      <c r="C41" s="17">
        <v>1000000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f t="shared" si="6"/>
        <v>0</v>
      </c>
      <c r="J41" s="17">
        <f t="shared" si="7"/>
        <v>0</v>
      </c>
      <c r="K41" s="18">
        <f t="shared" si="8"/>
        <v>0</v>
      </c>
    </row>
    <row r="42" spans="1:11" x14ac:dyDescent="0.25">
      <c r="A42" s="15"/>
      <c r="B42" s="16" t="s">
        <v>51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f t="shared" si="6"/>
        <v>0</v>
      </c>
      <c r="J42" s="17">
        <f t="shared" si="7"/>
        <v>0</v>
      </c>
      <c r="K42" s="18" t="str">
        <f t="shared" si="8"/>
        <v/>
      </c>
    </row>
    <row r="43" spans="1:11" x14ac:dyDescent="0.25">
      <c r="A43" s="15"/>
      <c r="B43" s="16" t="s">
        <v>52</v>
      </c>
      <c r="C43" s="17">
        <v>0</v>
      </c>
      <c r="D43" s="17">
        <v>350000</v>
      </c>
      <c r="E43" s="17">
        <v>0</v>
      </c>
      <c r="F43" s="17">
        <v>0</v>
      </c>
      <c r="G43" s="17">
        <v>0</v>
      </c>
      <c r="H43" s="17">
        <v>0</v>
      </c>
      <c r="I43" s="17">
        <f t="shared" si="6"/>
        <v>0</v>
      </c>
      <c r="J43" s="17">
        <f t="shared" si="7"/>
        <v>350000</v>
      </c>
      <c r="K43" s="18" t="str">
        <f t="shared" si="8"/>
        <v/>
      </c>
    </row>
    <row r="44" spans="1:11" x14ac:dyDescent="0.25">
      <c r="A44" s="23"/>
      <c r="B44" s="24" t="s">
        <v>53</v>
      </c>
      <c r="C44" s="25">
        <v>498800000</v>
      </c>
      <c r="D44" s="25">
        <v>110414000</v>
      </c>
      <c r="E44" s="25">
        <v>170000</v>
      </c>
      <c r="F44" s="25">
        <v>2269000</v>
      </c>
      <c r="G44" s="25">
        <v>1461000</v>
      </c>
      <c r="H44" s="25">
        <v>2349000</v>
      </c>
      <c r="I44" s="25">
        <f t="shared" si="6"/>
        <v>6249000</v>
      </c>
      <c r="J44" s="25">
        <f t="shared" si="7"/>
        <v>116663000</v>
      </c>
      <c r="K44" s="26">
        <f t="shared" si="8"/>
        <v>0.23388732959101843</v>
      </c>
    </row>
    <row r="47" spans="1:11" x14ac:dyDescent="0.25">
      <c r="B47" s="27" t="s">
        <v>54</v>
      </c>
    </row>
    <row r="48" spans="1:11" ht="47.25" x14ac:dyDescent="0.25">
      <c r="B48" s="6" t="s">
        <v>55</v>
      </c>
      <c r="C48" s="6" t="s">
        <v>56</v>
      </c>
      <c r="D48" s="6" t="s">
        <v>83</v>
      </c>
    </row>
    <row r="49" spans="2:4" x14ac:dyDescent="0.25">
      <c r="B49" s="28" t="s">
        <v>58</v>
      </c>
      <c r="C49" s="29">
        <v>54530000</v>
      </c>
      <c r="D49" s="29">
        <v>40320000</v>
      </c>
    </row>
    <row r="50" spans="2:4" x14ac:dyDescent="0.25">
      <c r="B50" s="28" t="s">
        <v>59</v>
      </c>
      <c r="C50" s="29">
        <v>444270000</v>
      </c>
      <c r="D50" s="29">
        <v>76343000</v>
      </c>
    </row>
    <row r="51" spans="2:4" x14ac:dyDescent="0.25">
      <c r="B51" s="28" t="s">
        <v>53</v>
      </c>
      <c r="C51" s="29">
        <v>498800000</v>
      </c>
      <c r="D51" s="29">
        <v>116663000</v>
      </c>
    </row>
    <row r="66" spans="2:4" x14ac:dyDescent="0.25">
      <c r="B66" s="27" t="s">
        <v>60</v>
      </c>
    </row>
    <row r="67" spans="2:4" x14ac:dyDescent="0.25">
      <c r="B67" s="6" t="s">
        <v>61</v>
      </c>
      <c r="C67" s="6" t="s">
        <v>62</v>
      </c>
      <c r="D67" s="6" t="s">
        <v>59</v>
      </c>
    </row>
    <row r="68" spans="2:4" x14ac:dyDescent="0.25">
      <c r="B68" s="28" t="s">
        <v>63</v>
      </c>
      <c r="C68" s="29">
        <v>0</v>
      </c>
      <c r="D68" s="29">
        <v>170000</v>
      </c>
    </row>
    <row r="69" spans="2:4" x14ac:dyDescent="0.25">
      <c r="B69" s="28" t="s">
        <v>64</v>
      </c>
      <c r="C69" s="29">
        <v>0</v>
      </c>
      <c r="D69" s="29">
        <v>2269000</v>
      </c>
    </row>
    <row r="70" spans="2:4" x14ac:dyDescent="0.25">
      <c r="B70" s="28" t="s">
        <v>65</v>
      </c>
      <c r="C70" s="29">
        <v>0</v>
      </c>
      <c r="D70" s="29">
        <v>1461000</v>
      </c>
    </row>
    <row r="71" spans="2:4" x14ac:dyDescent="0.25">
      <c r="B71" s="28" t="s">
        <v>66</v>
      </c>
      <c r="C71" s="29">
        <v>0</v>
      </c>
      <c r="D71" s="29">
        <v>2349000</v>
      </c>
    </row>
    <row r="85" spans="2:4" x14ac:dyDescent="0.25">
      <c r="B85" s="27" t="s">
        <v>67</v>
      </c>
    </row>
    <row r="86" spans="2:4" ht="47.25" x14ac:dyDescent="0.25">
      <c r="B86" s="6" t="s">
        <v>68</v>
      </c>
      <c r="C86" s="6" t="s">
        <v>56</v>
      </c>
      <c r="D86" s="6" t="s">
        <v>83</v>
      </c>
    </row>
    <row r="87" spans="2:4" x14ac:dyDescent="0.25">
      <c r="B87" s="28" t="s">
        <v>69</v>
      </c>
      <c r="C87" s="29">
        <v>45600000</v>
      </c>
      <c r="D87" s="29">
        <v>38400000</v>
      </c>
    </row>
    <row r="88" spans="2:4" x14ac:dyDescent="0.25">
      <c r="B88" s="28" t="s">
        <v>70</v>
      </c>
      <c r="C88" s="29">
        <v>2280000</v>
      </c>
      <c r="D88" s="29">
        <v>1920000</v>
      </c>
    </row>
    <row r="89" spans="2:4" x14ac:dyDescent="0.25">
      <c r="B89" s="28" t="s">
        <v>71</v>
      </c>
      <c r="C89" s="29">
        <v>103354000</v>
      </c>
      <c r="D89" s="29">
        <v>4235000</v>
      </c>
    </row>
    <row r="90" spans="2:4" x14ac:dyDescent="0.25">
      <c r="B90" s="28" t="s">
        <v>72</v>
      </c>
      <c r="C90" s="29">
        <v>278342000</v>
      </c>
      <c r="D90" s="29">
        <v>48336000</v>
      </c>
    </row>
    <row r="91" spans="2:4" x14ac:dyDescent="0.25">
      <c r="B91" s="28" t="s">
        <v>73</v>
      </c>
      <c r="C91" s="29">
        <v>53000000</v>
      </c>
      <c r="D91" s="29">
        <v>19250000</v>
      </c>
    </row>
    <row r="92" spans="2:4" x14ac:dyDescent="0.25">
      <c r="B92" s="28" t="s">
        <v>74</v>
      </c>
      <c r="C92" s="29">
        <v>5874000</v>
      </c>
      <c r="D92" s="29">
        <v>2465000</v>
      </c>
    </row>
    <row r="93" spans="2:4" x14ac:dyDescent="0.25">
      <c r="B93" s="28" t="s">
        <v>75</v>
      </c>
      <c r="C93" s="29">
        <v>1600000</v>
      </c>
      <c r="D93" s="29">
        <v>1050000</v>
      </c>
    </row>
    <row r="94" spans="2:4" x14ac:dyDescent="0.25">
      <c r="B94" s="28" t="s">
        <v>76</v>
      </c>
      <c r="C94" s="29">
        <v>2100000</v>
      </c>
      <c r="D94" s="29">
        <v>1007000</v>
      </c>
    </row>
    <row r="108" spans="2:4" x14ac:dyDescent="0.25">
      <c r="B108" s="30" t="s">
        <v>77</v>
      </c>
    </row>
    <row r="109" spans="2:4" ht="31.5" customHeight="1" x14ac:dyDescent="0.25">
      <c r="B109" s="31" t="s">
        <v>84</v>
      </c>
      <c r="C109" s="2"/>
      <c r="D109" s="2"/>
    </row>
    <row r="110" spans="2:4" ht="32.25" customHeight="1" x14ac:dyDescent="0.25">
      <c r="B110" s="31" t="s">
        <v>79</v>
      </c>
      <c r="C110" s="2"/>
      <c r="D110" s="2"/>
    </row>
    <row r="111" spans="2:4" ht="33.75" customHeight="1" x14ac:dyDescent="0.25">
      <c r="B111" s="31" t="s">
        <v>85</v>
      </c>
      <c r="C111" s="2"/>
      <c r="D111" s="2"/>
    </row>
    <row r="112" spans="2:4" ht="55.5" customHeight="1" x14ac:dyDescent="0.25">
      <c r="B112" s="31" t="s">
        <v>86</v>
      </c>
      <c r="C112" s="2"/>
      <c r="D112" s="2"/>
    </row>
  </sheetData>
  <mergeCells count="16">
    <mergeCell ref="B112:D112"/>
    <mergeCell ref="A4:K4"/>
    <mergeCell ref="A3:K3"/>
    <mergeCell ref="B109:D109"/>
    <mergeCell ref="B110:D110"/>
    <mergeCell ref="E6:H6"/>
    <mergeCell ref="A1:K1"/>
    <mergeCell ref="B111:D111"/>
    <mergeCell ref="A2:K2"/>
    <mergeCell ref="I6:I7"/>
    <mergeCell ref="J6:J7"/>
    <mergeCell ref="K6:K7"/>
    <mergeCell ref="C6:C7"/>
    <mergeCell ref="A6:A7"/>
    <mergeCell ref="D6:D7"/>
    <mergeCell ref="B6:B7"/>
  </mergeCells>
  <pageMargins left="0.75" right="0.75" top="1" bottom="1" header="0.5" footer="0.5"/>
  <pageSetup paperSize="9" scale="59" fitToHeight="3" orientation="landscape" r:id="rId1"/>
  <rowBreaks count="2" manualBreakCount="2">
    <brk id="45" max="16383" man="1"/>
    <brk id="8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J121"/>
  <sheetViews>
    <sheetView showGridLines="0" view="pageBreakPreview" zoomScale="69" zoomScaleNormal="85" workbookViewId="0">
      <pane xSplit="2" ySplit="7" topLeftCell="C99" activePane="bottomRight" state="frozen"/>
      <selection pane="topRight"/>
      <selection pane="bottomLeft"/>
      <selection pane="bottomRight" activeCell="H123" sqref="H123"/>
    </sheetView>
  </sheetViews>
  <sheetFormatPr defaultRowHeight="15.75" x14ac:dyDescent="0.25"/>
  <cols>
    <col min="1" max="1" width="5" style="4" customWidth="1"/>
    <col min="2" max="2" width="50" style="4" customWidth="1"/>
    <col min="3" max="10" width="14.42578125" style="4" customWidth="1"/>
    <col min="11" max="16384" width="9.140625" style="4"/>
  </cols>
  <sheetData>
    <row r="1" spans="1:10" ht="17.100000000000001" customHeight="1" x14ac:dyDescent="0.25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</row>
    <row r="2" spans="1:10" ht="14.1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4.1" customHeight="1" x14ac:dyDescent="0.25">
      <c r="A3" s="1" t="s">
        <v>88</v>
      </c>
      <c r="B3" s="2"/>
      <c r="C3" s="2"/>
      <c r="D3" s="2"/>
      <c r="E3" s="2"/>
      <c r="F3" s="2"/>
      <c r="G3" s="2"/>
      <c r="H3" s="2"/>
      <c r="I3" s="2"/>
      <c r="J3" s="2"/>
    </row>
    <row r="4" spans="1:10" ht="14.1" customHeight="1" x14ac:dyDescent="0.25">
      <c r="A4" s="1" t="s">
        <v>89</v>
      </c>
      <c r="B4" s="2"/>
      <c r="C4" s="2"/>
      <c r="D4" s="2"/>
      <c r="E4" s="2"/>
      <c r="F4" s="2"/>
      <c r="G4" s="2"/>
      <c r="H4" s="2"/>
      <c r="I4" s="2"/>
      <c r="J4" s="2"/>
    </row>
    <row r="5" spans="1:10" ht="12" customHeight="1" x14ac:dyDescent="0.25">
      <c r="A5" s="3" t="s">
        <v>4</v>
      </c>
    </row>
    <row r="6" spans="1:10" ht="18" customHeight="1" x14ac:dyDescent="0.25">
      <c r="A6" s="5" t="s">
        <v>5</v>
      </c>
      <c r="B6" s="5" t="s">
        <v>6</v>
      </c>
      <c r="C6" s="5" t="s">
        <v>7</v>
      </c>
      <c r="D6" s="5" t="s">
        <v>90</v>
      </c>
      <c r="E6" s="5"/>
      <c r="F6" s="5"/>
      <c r="G6" s="5"/>
      <c r="H6" s="5" t="s">
        <v>91</v>
      </c>
      <c r="I6" s="5"/>
      <c r="J6" s="5"/>
    </row>
    <row r="7" spans="1:10" ht="26.1" customHeight="1" x14ac:dyDescent="0.25">
      <c r="A7" s="5"/>
      <c r="B7" s="5"/>
      <c r="C7" s="5"/>
      <c r="D7" s="6" t="s">
        <v>92</v>
      </c>
      <c r="E7" s="6" t="s">
        <v>93</v>
      </c>
      <c r="F7" s="6" t="s">
        <v>94</v>
      </c>
      <c r="G7" s="6" t="s">
        <v>95</v>
      </c>
      <c r="H7" s="6" t="s">
        <v>96</v>
      </c>
      <c r="I7" s="6" t="s">
        <v>97</v>
      </c>
      <c r="J7" s="6" t="s">
        <v>12</v>
      </c>
    </row>
    <row r="8" spans="1:10" ht="12.95" customHeight="1" x14ac:dyDescent="0.25">
      <c r="A8" s="7" t="s">
        <v>17</v>
      </c>
      <c r="B8" s="32" t="s">
        <v>18</v>
      </c>
      <c r="C8" s="9">
        <v>54530000</v>
      </c>
      <c r="D8" s="9">
        <v>15720000</v>
      </c>
      <c r="E8" s="9">
        <v>0</v>
      </c>
      <c r="F8" s="33">
        <f t="shared" ref="F8:F13" si="0">E8-D8</f>
        <v>-15720000</v>
      </c>
      <c r="G8" s="34">
        <f t="shared" ref="G8:G13" si="1">IF(D8=0,"",(E8-D8)/D8)</f>
        <v>-1</v>
      </c>
      <c r="H8" s="9">
        <v>40320000</v>
      </c>
      <c r="I8" s="9">
        <v>40320000</v>
      </c>
      <c r="J8" s="10">
        <f t="shared" ref="J8:J13" si="2">IF(C8=0,"",I8/C8)</f>
        <v>0.73940949935815148</v>
      </c>
    </row>
    <row r="9" spans="1:10" ht="12.95" customHeight="1" x14ac:dyDescent="0.25">
      <c r="A9" s="11" t="s">
        <v>19</v>
      </c>
      <c r="B9" s="35" t="s">
        <v>20</v>
      </c>
      <c r="C9" s="13">
        <v>4750000</v>
      </c>
      <c r="D9" s="13">
        <v>0</v>
      </c>
      <c r="E9" s="13">
        <v>0</v>
      </c>
      <c r="F9" s="36">
        <f t="shared" si="0"/>
        <v>0</v>
      </c>
      <c r="G9" s="37" t="str">
        <f t="shared" si="1"/>
        <v/>
      </c>
      <c r="H9" s="13">
        <v>0</v>
      </c>
      <c r="I9" s="13">
        <v>0</v>
      </c>
      <c r="J9" s="14">
        <f t="shared" si="2"/>
        <v>0</v>
      </c>
    </row>
    <row r="10" spans="1:10" ht="12.95" customHeight="1" x14ac:dyDescent="0.25">
      <c r="A10" s="15"/>
      <c r="B10" s="38" t="s">
        <v>21</v>
      </c>
      <c r="C10" s="17">
        <v>1500000</v>
      </c>
      <c r="D10" s="17">
        <v>0</v>
      </c>
      <c r="E10" s="17">
        <v>0</v>
      </c>
      <c r="F10" s="39">
        <f t="shared" si="0"/>
        <v>0</v>
      </c>
      <c r="G10" s="40" t="str">
        <f t="shared" si="1"/>
        <v/>
      </c>
      <c r="H10" s="17">
        <v>0</v>
      </c>
      <c r="I10" s="17">
        <v>0</v>
      </c>
      <c r="J10" s="18">
        <f t="shared" si="2"/>
        <v>0</v>
      </c>
    </row>
    <row r="11" spans="1:10" ht="12.95" customHeight="1" x14ac:dyDescent="0.25">
      <c r="A11" s="15"/>
      <c r="B11" s="38" t="s">
        <v>22</v>
      </c>
      <c r="C11" s="17">
        <v>2500000</v>
      </c>
      <c r="D11" s="17">
        <v>0</v>
      </c>
      <c r="E11" s="17">
        <v>0</v>
      </c>
      <c r="F11" s="39">
        <f t="shared" si="0"/>
        <v>0</v>
      </c>
      <c r="G11" s="40" t="str">
        <f t="shared" si="1"/>
        <v/>
      </c>
      <c r="H11" s="17">
        <v>0</v>
      </c>
      <c r="I11" s="17">
        <v>0</v>
      </c>
      <c r="J11" s="18">
        <f t="shared" si="2"/>
        <v>0</v>
      </c>
    </row>
    <row r="12" spans="1:10" ht="12.95" customHeight="1" x14ac:dyDescent="0.25">
      <c r="A12" s="15"/>
      <c r="B12" s="38" t="s">
        <v>23</v>
      </c>
      <c r="C12" s="17">
        <v>750000</v>
      </c>
      <c r="D12" s="17">
        <v>0</v>
      </c>
      <c r="E12" s="17">
        <v>0</v>
      </c>
      <c r="F12" s="39">
        <f t="shared" si="0"/>
        <v>0</v>
      </c>
      <c r="G12" s="40" t="str">
        <f t="shared" si="1"/>
        <v/>
      </c>
      <c r="H12" s="17">
        <v>0</v>
      </c>
      <c r="I12" s="17">
        <v>0</v>
      </c>
      <c r="J12" s="18">
        <f t="shared" si="2"/>
        <v>0</v>
      </c>
    </row>
    <row r="13" spans="1:10" ht="12.95" customHeight="1" x14ac:dyDescent="0.25">
      <c r="A13" s="11" t="s">
        <v>24</v>
      </c>
      <c r="B13" s="35" t="s">
        <v>98</v>
      </c>
      <c r="C13" s="13">
        <v>49780000</v>
      </c>
      <c r="D13" s="13">
        <v>15720000</v>
      </c>
      <c r="E13" s="13">
        <v>0</v>
      </c>
      <c r="F13" s="36">
        <f t="shared" si="0"/>
        <v>-15720000</v>
      </c>
      <c r="G13" s="37">
        <f t="shared" si="1"/>
        <v>-1</v>
      </c>
      <c r="H13" s="13">
        <v>40320000</v>
      </c>
      <c r="I13" s="13">
        <v>40320000</v>
      </c>
      <c r="J13" s="14">
        <f t="shared" si="2"/>
        <v>0.80996384089995987</v>
      </c>
    </row>
    <row r="14" spans="1:10" ht="12.95" customHeight="1" x14ac:dyDescent="0.25">
      <c r="A14" s="19"/>
      <c r="B14" s="41" t="s">
        <v>26</v>
      </c>
      <c r="C14" s="21"/>
      <c r="D14" s="21"/>
      <c r="E14" s="21"/>
      <c r="F14" s="42"/>
      <c r="G14" s="43"/>
      <c r="H14" s="21"/>
      <c r="I14" s="21"/>
      <c r="J14" s="22"/>
    </row>
    <row r="15" spans="1:10" ht="12.95" customHeight="1" x14ac:dyDescent="0.25">
      <c r="A15" s="15"/>
      <c r="B15" s="38" t="s">
        <v>27</v>
      </c>
      <c r="C15" s="17">
        <v>45600000</v>
      </c>
      <c r="D15" s="17">
        <v>15720000</v>
      </c>
      <c r="E15" s="17">
        <v>0</v>
      </c>
      <c r="F15" s="39">
        <f t="shared" ref="F15:F28" si="3">E15-D15</f>
        <v>-15720000</v>
      </c>
      <c r="G15" s="40">
        <f t="shared" ref="G15:G28" si="4">IF(D15=0,"",(E15-D15)/D15)</f>
        <v>-1</v>
      </c>
      <c r="H15" s="17">
        <v>38400000</v>
      </c>
      <c r="I15" s="17">
        <v>38400000</v>
      </c>
      <c r="J15" s="18">
        <f t="shared" ref="J15:J28" si="5">IF(C15=0,"",I15/C15)</f>
        <v>0.84210526315789469</v>
      </c>
    </row>
    <row r="16" spans="1:10" ht="12.95" customHeight="1" x14ac:dyDescent="0.25">
      <c r="A16" s="15"/>
      <c r="B16" s="38" t="s">
        <v>28</v>
      </c>
      <c r="C16" s="17">
        <v>19000000</v>
      </c>
      <c r="D16" s="17">
        <v>15720000</v>
      </c>
      <c r="E16" s="17">
        <v>0</v>
      </c>
      <c r="F16" s="39">
        <f t="shared" si="3"/>
        <v>-15720000</v>
      </c>
      <c r="G16" s="40">
        <f t="shared" si="4"/>
        <v>-1</v>
      </c>
      <c r="H16" s="17">
        <v>16000000</v>
      </c>
      <c r="I16" s="17">
        <v>16000000</v>
      </c>
      <c r="J16" s="18">
        <f t="shared" si="5"/>
        <v>0.84210526315789469</v>
      </c>
    </row>
    <row r="17" spans="1:10" ht="12.95" customHeight="1" x14ac:dyDescent="0.25">
      <c r="A17" s="15"/>
      <c r="B17" s="38" t="s">
        <v>29</v>
      </c>
      <c r="C17" s="17">
        <v>15200000</v>
      </c>
      <c r="D17" s="17">
        <v>0</v>
      </c>
      <c r="E17" s="17">
        <v>0</v>
      </c>
      <c r="F17" s="39">
        <f t="shared" si="3"/>
        <v>0</v>
      </c>
      <c r="G17" s="40" t="str">
        <f t="shared" si="4"/>
        <v/>
      </c>
      <c r="H17" s="17">
        <v>12800000</v>
      </c>
      <c r="I17" s="17">
        <v>12800000</v>
      </c>
      <c r="J17" s="18">
        <f t="shared" si="5"/>
        <v>0.84210526315789469</v>
      </c>
    </row>
    <row r="18" spans="1:10" ht="12.95" customHeight="1" x14ac:dyDescent="0.25">
      <c r="A18" s="15"/>
      <c r="B18" s="38" t="s">
        <v>30</v>
      </c>
      <c r="C18" s="17">
        <v>11400000</v>
      </c>
      <c r="D18" s="17">
        <v>0</v>
      </c>
      <c r="E18" s="17">
        <v>0</v>
      </c>
      <c r="F18" s="39">
        <f t="shared" si="3"/>
        <v>0</v>
      </c>
      <c r="G18" s="40" t="str">
        <f t="shared" si="4"/>
        <v/>
      </c>
      <c r="H18" s="17">
        <v>9600000</v>
      </c>
      <c r="I18" s="17">
        <v>9600000</v>
      </c>
      <c r="J18" s="18">
        <f t="shared" si="5"/>
        <v>0.84210526315789469</v>
      </c>
    </row>
    <row r="19" spans="1:10" ht="12.95" customHeight="1" x14ac:dyDescent="0.25">
      <c r="A19" s="15"/>
      <c r="B19" s="38" t="s">
        <v>31</v>
      </c>
      <c r="C19" s="17">
        <v>5700000</v>
      </c>
      <c r="D19" s="17">
        <v>0</v>
      </c>
      <c r="E19" s="17">
        <v>0</v>
      </c>
      <c r="F19" s="39">
        <f t="shared" si="3"/>
        <v>0</v>
      </c>
      <c r="G19" s="40" t="str">
        <f t="shared" si="4"/>
        <v/>
      </c>
      <c r="H19" s="17">
        <v>0</v>
      </c>
      <c r="I19" s="17">
        <v>0</v>
      </c>
      <c r="J19" s="18">
        <f t="shared" si="5"/>
        <v>0</v>
      </c>
    </row>
    <row r="20" spans="1:10" ht="12.95" customHeight="1" x14ac:dyDescent="0.25">
      <c r="A20" s="15"/>
      <c r="B20" s="38" t="s">
        <v>32</v>
      </c>
      <c r="C20" s="17">
        <v>7980000</v>
      </c>
      <c r="D20" s="17">
        <v>0</v>
      </c>
      <c r="E20" s="17">
        <v>0</v>
      </c>
      <c r="F20" s="39">
        <f t="shared" si="3"/>
        <v>0</v>
      </c>
      <c r="G20" s="40" t="str">
        <f t="shared" si="4"/>
        <v/>
      </c>
      <c r="H20" s="17">
        <v>0</v>
      </c>
      <c r="I20" s="17">
        <v>0</v>
      </c>
      <c r="J20" s="18">
        <f t="shared" si="5"/>
        <v>0</v>
      </c>
    </row>
    <row r="21" spans="1:10" ht="12.95" customHeight="1" x14ac:dyDescent="0.25">
      <c r="A21" s="15"/>
      <c r="B21" s="38" t="s">
        <v>99</v>
      </c>
      <c r="C21" s="17">
        <v>1900000</v>
      </c>
      <c r="D21" s="17">
        <v>0</v>
      </c>
      <c r="E21" s="17">
        <v>0</v>
      </c>
      <c r="F21" s="39">
        <f t="shared" si="3"/>
        <v>0</v>
      </c>
      <c r="G21" s="40" t="str">
        <f t="shared" si="4"/>
        <v/>
      </c>
      <c r="H21" s="17">
        <v>0</v>
      </c>
      <c r="I21" s="17">
        <v>0</v>
      </c>
      <c r="J21" s="18">
        <f t="shared" si="5"/>
        <v>0</v>
      </c>
    </row>
    <row r="22" spans="1:10" ht="12.95" customHeight="1" x14ac:dyDescent="0.25">
      <c r="A22" s="15"/>
      <c r="B22" s="38" t="s">
        <v>100</v>
      </c>
      <c r="C22" s="17">
        <v>2280000</v>
      </c>
      <c r="D22" s="17">
        <v>0</v>
      </c>
      <c r="E22" s="17">
        <v>0</v>
      </c>
      <c r="F22" s="39">
        <f t="shared" si="3"/>
        <v>0</v>
      </c>
      <c r="G22" s="40" t="str">
        <f t="shared" si="4"/>
        <v/>
      </c>
      <c r="H22" s="17">
        <v>1920000</v>
      </c>
      <c r="I22" s="17">
        <v>1920000</v>
      </c>
      <c r="J22" s="18">
        <f t="shared" si="5"/>
        <v>0.84210526315789469</v>
      </c>
    </row>
    <row r="23" spans="1:10" ht="12.95" customHeight="1" x14ac:dyDescent="0.25">
      <c r="A23" s="7" t="s">
        <v>35</v>
      </c>
      <c r="B23" s="32" t="s">
        <v>36</v>
      </c>
      <c r="C23" s="9">
        <v>444270000</v>
      </c>
      <c r="D23" s="9">
        <v>18875000</v>
      </c>
      <c r="E23" s="9">
        <v>6249000</v>
      </c>
      <c r="F23" s="33">
        <f t="shared" si="3"/>
        <v>-12626000</v>
      </c>
      <c r="G23" s="34">
        <f t="shared" si="4"/>
        <v>-0.6689271523178808</v>
      </c>
      <c r="H23" s="9">
        <v>70094000</v>
      </c>
      <c r="I23" s="9">
        <v>76343000</v>
      </c>
      <c r="J23" s="10">
        <f t="shared" si="5"/>
        <v>0.17183919688477728</v>
      </c>
    </row>
    <row r="24" spans="1:10" ht="12.95" customHeight="1" x14ac:dyDescent="0.25">
      <c r="A24" s="11" t="s">
        <v>19</v>
      </c>
      <c r="B24" s="35" t="s">
        <v>20</v>
      </c>
      <c r="C24" s="13">
        <v>103354000</v>
      </c>
      <c r="D24" s="13">
        <v>2934000</v>
      </c>
      <c r="E24" s="13">
        <v>1301000</v>
      </c>
      <c r="F24" s="36">
        <f t="shared" si="3"/>
        <v>-1633000</v>
      </c>
      <c r="G24" s="37">
        <f t="shared" si="4"/>
        <v>-0.55657805044308106</v>
      </c>
      <c r="H24" s="13">
        <v>2934000</v>
      </c>
      <c r="I24" s="13">
        <v>4235000</v>
      </c>
      <c r="J24" s="14">
        <f t="shared" si="5"/>
        <v>4.0975675832575421E-2</v>
      </c>
    </row>
    <row r="25" spans="1:10" ht="12.95" customHeight="1" x14ac:dyDescent="0.25">
      <c r="A25" s="15"/>
      <c r="B25" s="38" t="s">
        <v>21</v>
      </c>
      <c r="C25" s="17">
        <v>35000000</v>
      </c>
      <c r="D25" s="17">
        <v>1134000</v>
      </c>
      <c r="E25" s="17">
        <v>501000</v>
      </c>
      <c r="F25" s="39">
        <f t="shared" si="3"/>
        <v>-633000</v>
      </c>
      <c r="G25" s="40">
        <f t="shared" si="4"/>
        <v>-0.55820105820105825</v>
      </c>
      <c r="H25" s="17">
        <v>1134000</v>
      </c>
      <c r="I25" s="17">
        <v>1635000</v>
      </c>
      <c r="J25" s="18">
        <f t="shared" si="5"/>
        <v>4.6714285714285715E-2</v>
      </c>
    </row>
    <row r="26" spans="1:10" ht="12.95" customHeight="1" x14ac:dyDescent="0.25">
      <c r="A26" s="15"/>
      <c r="B26" s="38" t="s">
        <v>22</v>
      </c>
      <c r="C26" s="17">
        <v>63354000</v>
      </c>
      <c r="D26" s="17">
        <v>1760000</v>
      </c>
      <c r="E26" s="17">
        <v>790000</v>
      </c>
      <c r="F26" s="39">
        <f t="shared" si="3"/>
        <v>-970000</v>
      </c>
      <c r="G26" s="40">
        <f t="shared" si="4"/>
        <v>-0.55113636363636365</v>
      </c>
      <c r="H26" s="17">
        <v>1760000</v>
      </c>
      <c r="I26" s="17">
        <v>2550000</v>
      </c>
      <c r="J26" s="18">
        <f t="shared" si="5"/>
        <v>4.0250023676484517E-2</v>
      </c>
    </row>
    <row r="27" spans="1:10" ht="12.95" customHeight="1" x14ac:dyDescent="0.25">
      <c r="A27" s="15"/>
      <c r="B27" s="38" t="s">
        <v>23</v>
      </c>
      <c r="C27" s="17">
        <v>5000000</v>
      </c>
      <c r="D27" s="17">
        <v>40000</v>
      </c>
      <c r="E27" s="17">
        <v>10000</v>
      </c>
      <c r="F27" s="39">
        <f t="shared" si="3"/>
        <v>-30000</v>
      </c>
      <c r="G27" s="40">
        <f t="shared" si="4"/>
        <v>-0.75</v>
      </c>
      <c r="H27" s="17">
        <v>40000</v>
      </c>
      <c r="I27" s="17">
        <v>50000</v>
      </c>
      <c r="J27" s="18">
        <f t="shared" si="5"/>
        <v>0.01</v>
      </c>
    </row>
    <row r="28" spans="1:10" ht="12.95" customHeight="1" x14ac:dyDescent="0.25">
      <c r="A28" s="11" t="s">
        <v>24</v>
      </c>
      <c r="B28" s="35" t="s">
        <v>101</v>
      </c>
      <c r="C28" s="13">
        <v>340916000</v>
      </c>
      <c r="D28" s="13">
        <v>15941000</v>
      </c>
      <c r="E28" s="13">
        <v>4948000</v>
      </c>
      <c r="F28" s="36">
        <f t="shared" si="3"/>
        <v>-10993000</v>
      </c>
      <c r="G28" s="37">
        <f t="shared" si="4"/>
        <v>-0.68960541998619906</v>
      </c>
      <c r="H28" s="13">
        <v>67160000</v>
      </c>
      <c r="I28" s="13">
        <v>72108000</v>
      </c>
      <c r="J28" s="14">
        <f t="shared" si="5"/>
        <v>0.21151251334639617</v>
      </c>
    </row>
    <row r="29" spans="1:10" ht="12.95" customHeight="1" x14ac:dyDescent="0.25">
      <c r="A29" s="19"/>
      <c r="B29" s="41" t="s">
        <v>38</v>
      </c>
      <c r="C29" s="21"/>
      <c r="D29" s="21"/>
      <c r="E29" s="21"/>
      <c r="F29" s="42"/>
      <c r="G29" s="43"/>
      <c r="H29" s="21"/>
      <c r="I29" s="21"/>
      <c r="J29" s="22"/>
    </row>
    <row r="30" spans="1:10" ht="12.95" customHeight="1" x14ac:dyDescent="0.25">
      <c r="A30" s="19"/>
      <c r="B30" s="41" t="s">
        <v>39</v>
      </c>
      <c r="C30" s="21"/>
      <c r="D30" s="21"/>
      <c r="E30" s="21"/>
      <c r="F30" s="42"/>
      <c r="G30" s="43"/>
      <c r="H30" s="21"/>
      <c r="I30" s="21"/>
      <c r="J30" s="22"/>
    </row>
    <row r="31" spans="1:10" ht="12.95" customHeight="1" x14ac:dyDescent="0.25">
      <c r="A31" s="15"/>
      <c r="B31" s="38" t="s">
        <v>40</v>
      </c>
      <c r="C31" s="17">
        <v>213342000</v>
      </c>
      <c r="D31" s="17">
        <v>8382000</v>
      </c>
      <c r="E31" s="17">
        <v>2940000</v>
      </c>
      <c r="F31" s="39">
        <f t="shared" ref="F31:F44" si="6">E31-D31</f>
        <v>-5442000</v>
      </c>
      <c r="G31" s="40">
        <f t="shared" ref="G31:G44" si="7">IF(D31=0,"",(E31-D31)/D31)</f>
        <v>-0.64924838940586971</v>
      </c>
      <c r="H31" s="17">
        <v>41028000</v>
      </c>
      <c r="I31" s="17">
        <v>43968000</v>
      </c>
      <c r="J31" s="18">
        <f t="shared" ref="J31:J44" si="8">IF(C31=0,"",I31/C31)</f>
        <v>0.20609162752763169</v>
      </c>
    </row>
    <row r="32" spans="1:10" ht="12.95" customHeight="1" x14ac:dyDescent="0.25">
      <c r="A32" s="15"/>
      <c r="B32" s="38" t="s">
        <v>41</v>
      </c>
      <c r="C32" s="17">
        <v>65000000</v>
      </c>
      <c r="D32" s="17">
        <v>780000</v>
      </c>
      <c r="E32" s="17">
        <v>369000</v>
      </c>
      <c r="F32" s="39">
        <f t="shared" si="6"/>
        <v>-411000</v>
      </c>
      <c r="G32" s="40">
        <f t="shared" si="7"/>
        <v>-0.52692307692307694</v>
      </c>
      <c r="H32" s="17">
        <v>3829000</v>
      </c>
      <c r="I32" s="17">
        <v>4198000</v>
      </c>
      <c r="J32" s="18">
        <f t="shared" si="8"/>
        <v>6.4584615384615379E-2</v>
      </c>
    </row>
    <row r="33" spans="1:10" ht="12.95" customHeight="1" x14ac:dyDescent="0.25">
      <c r="A33" s="15"/>
      <c r="B33" s="38" t="s">
        <v>42</v>
      </c>
      <c r="C33" s="17">
        <v>0</v>
      </c>
      <c r="D33" s="17">
        <v>100000</v>
      </c>
      <c r="E33" s="17">
        <v>0</v>
      </c>
      <c r="F33" s="39">
        <f t="shared" si="6"/>
        <v>-100000</v>
      </c>
      <c r="G33" s="40">
        <f t="shared" si="7"/>
        <v>-1</v>
      </c>
      <c r="H33" s="17">
        <v>170000</v>
      </c>
      <c r="I33" s="17">
        <v>170000</v>
      </c>
      <c r="J33" s="18" t="str">
        <f t="shared" si="8"/>
        <v/>
      </c>
    </row>
    <row r="34" spans="1:10" ht="12.95" customHeight="1" x14ac:dyDescent="0.25">
      <c r="A34" s="15"/>
      <c r="B34" s="38" t="s">
        <v>43</v>
      </c>
      <c r="C34" s="17">
        <v>500000</v>
      </c>
      <c r="D34" s="17">
        <v>0</v>
      </c>
      <c r="E34" s="17">
        <v>0</v>
      </c>
      <c r="F34" s="39">
        <f t="shared" si="6"/>
        <v>0</v>
      </c>
      <c r="G34" s="40" t="str">
        <f t="shared" si="7"/>
        <v/>
      </c>
      <c r="H34" s="17">
        <v>57000</v>
      </c>
      <c r="I34" s="17">
        <v>57000</v>
      </c>
      <c r="J34" s="18">
        <f t="shared" si="8"/>
        <v>0.114</v>
      </c>
    </row>
    <row r="35" spans="1:10" ht="12.95" customHeight="1" x14ac:dyDescent="0.25">
      <c r="A35" s="15"/>
      <c r="B35" s="38" t="s">
        <v>44</v>
      </c>
      <c r="C35" s="17">
        <v>0</v>
      </c>
      <c r="D35" s="17">
        <v>0</v>
      </c>
      <c r="E35" s="17">
        <v>0</v>
      </c>
      <c r="F35" s="39">
        <f t="shared" si="6"/>
        <v>0</v>
      </c>
      <c r="G35" s="40" t="str">
        <f t="shared" si="7"/>
        <v/>
      </c>
      <c r="H35" s="17">
        <v>0</v>
      </c>
      <c r="I35" s="17">
        <v>0</v>
      </c>
      <c r="J35" s="18" t="str">
        <f t="shared" si="8"/>
        <v/>
      </c>
    </row>
    <row r="36" spans="1:10" ht="12.95" customHeight="1" x14ac:dyDescent="0.25">
      <c r="A36" s="15"/>
      <c r="B36" s="38" t="s">
        <v>45</v>
      </c>
      <c r="C36" s="17">
        <v>5874000</v>
      </c>
      <c r="D36" s="17">
        <v>154000</v>
      </c>
      <c r="E36" s="17">
        <v>64000</v>
      </c>
      <c r="F36" s="39">
        <f t="shared" si="6"/>
        <v>-90000</v>
      </c>
      <c r="G36" s="40">
        <f t="shared" si="7"/>
        <v>-0.58441558441558439</v>
      </c>
      <c r="H36" s="17">
        <v>2401000</v>
      </c>
      <c r="I36" s="17">
        <v>2465000</v>
      </c>
      <c r="J36" s="18">
        <f t="shared" si="8"/>
        <v>0.41964589717398704</v>
      </c>
    </row>
    <row r="37" spans="1:10" ht="12.95" customHeight="1" x14ac:dyDescent="0.25">
      <c r="A37" s="15"/>
      <c r="B37" s="38" t="s">
        <v>46</v>
      </c>
      <c r="C37" s="17">
        <v>1000000</v>
      </c>
      <c r="D37" s="17">
        <v>375000</v>
      </c>
      <c r="E37" s="17">
        <v>75000</v>
      </c>
      <c r="F37" s="39">
        <f t="shared" si="6"/>
        <v>-300000</v>
      </c>
      <c r="G37" s="40">
        <f t="shared" si="7"/>
        <v>-0.8</v>
      </c>
      <c r="H37" s="17">
        <v>825000</v>
      </c>
      <c r="I37" s="17">
        <v>900000</v>
      </c>
      <c r="J37" s="18">
        <f t="shared" si="8"/>
        <v>0.9</v>
      </c>
    </row>
    <row r="38" spans="1:10" ht="12.95" customHeight="1" x14ac:dyDescent="0.25">
      <c r="A38" s="15"/>
      <c r="B38" s="38" t="s">
        <v>47</v>
      </c>
      <c r="C38" s="17">
        <v>600000</v>
      </c>
      <c r="D38" s="17">
        <v>150000</v>
      </c>
      <c r="E38" s="17">
        <v>0</v>
      </c>
      <c r="F38" s="39">
        <f t="shared" si="6"/>
        <v>-150000</v>
      </c>
      <c r="G38" s="40">
        <f t="shared" si="7"/>
        <v>-1</v>
      </c>
      <c r="H38" s="17">
        <v>150000</v>
      </c>
      <c r="I38" s="17">
        <v>150000</v>
      </c>
      <c r="J38" s="18">
        <f t="shared" si="8"/>
        <v>0.25</v>
      </c>
    </row>
    <row r="39" spans="1:10" ht="12.95" customHeight="1" x14ac:dyDescent="0.25">
      <c r="A39" s="15"/>
      <c r="B39" s="38" t="s">
        <v>48</v>
      </c>
      <c r="C39" s="17">
        <v>53000000</v>
      </c>
      <c r="D39" s="17">
        <v>6000000</v>
      </c>
      <c r="E39" s="17">
        <v>1500000</v>
      </c>
      <c r="F39" s="39">
        <f t="shared" si="6"/>
        <v>-4500000</v>
      </c>
      <c r="G39" s="40">
        <f t="shared" si="7"/>
        <v>-0.75</v>
      </c>
      <c r="H39" s="17">
        <v>17750000</v>
      </c>
      <c r="I39" s="17">
        <v>19250000</v>
      </c>
      <c r="J39" s="18">
        <f t="shared" si="8"/>
        <v>0.3632075471698113</v>
      </c>
    </row>
    <row r="40" spans="1:10" ht="12.95" customHeight="1" x14ac:dyDescent="0.25">
      <c r="A40" s="15"/>
      <c r="B40" s="38" t="s">
        <v>49</v>
      </c>
      <c r="C40" s="17">
        <v>600000</v>
      </c>
      <c r="D40" s="17">
        <v>0</v>
      </c>
      <c r="E40" s="17">
        <v>0</v>
      </c>
      <c r="F40" s="39">
        <f t="shared" si="6"/>
        <v>0</v>
      </c>
      <c r="G40" s="40" t="str">
        <f t="shared" si="7"/>
        <v/>
      </c>
      <c r="H40" s="17">
        <v>600000</v>
      </c>
      <c r="I40" s="17">
        <v>600000</v>
      </c>
      <c r="J40" s="18">
        <f t="shared" si="8"/>
        <v>1</v>
      </c>
    </row>
    <row r="41" spans="1:10" ht="12.95" customHeight="1" x14ac:dyDescent="0.25">
      <c r="A41" s="15"/>
      <c r="B41" s="38" t="s">
        <v>50</v>
      </c>
      <c r="C41" s="17">
        <v>1000000</v>
      </c>
      <c r="D41" s="17">
        <v>0</v>
      </c>
      <c r="E41" s="17">
        <v>0</v>
      </c>
      <c r="F41" s="39">
        <f t="shared" si="6"/>
        <v>0</v>
      </c>
      <c r="G41" s="40" t="str">
        <f t="shared" si="7"/>
        <v/>
      </c>
      <c r="H41" s="17">
        <v>0</v>
      </c>
      <c r="I41" s="17">
        <v>0</v>
      </c>
      <c r="J41" s="18">
        <f t="shared" si="8"/>
        <v>0</v>
      </c>
    </row>
    <row r="42" spans="1:10" ht="12.95" customHeight="1" x14ac:dyDescent="0.25">
      <c r="A42" s="15"/>
      <c r="B42" s="38" t="s">
        <v>51</v>
      </c>
      <c r="C42" s="17">
        <v>0</v>
      </c>
      <c r="D42" s="17">
        <v>0</v>
      </c>
      <c r="E42" s="17">
        <v>0</v>
      </c>
      <c r="F42" s="39">
        <f t="shared" si="6"/>
        <v>0</v>
      </c>
      <c r="G42" s="40" t="str">
        <f t="shared" si="7"/>
        <v/>
      </c>
      <c r="H42" s="17">
        <v>0</v>
      </c>
      <c r="I42" s="17">
        <v>0</v>
      </c>
      <c r="J42" s="18" t="str">
        <f t="shared" si="8"/>
        <v/>
      </c>
    </row>
    <row r="43" spans="1:10" ht="12.95" customHeight="1" x14ac:dyDescent="0.25">
      <c r="A43" s="15"/>
      <c r="B43" s="38" t="s">
        <v>52</v>
      </c>
      <c r="C43" s="17">
        <v>0</v>
      </c>
      <c r="D43" s="17">
        <v>0</v>
      </c>
      <c r="E43" s="17">
        <v>0</v>
      </c>
      <c r="F43" s="39">
        <f t="shared" si="6"/>
        <v>0</v>
      </c>
      <c r="G43" s="40" t="str">
        <f t="shared" si="7"/>
        <v/>
      </c>
      <c r="H43" s="17">
        <v>350000</v>
      </c>
      <c r="I43" s="17">
        <v>350000</v>
      </c>
      <c r="J43" s="18" t="str">
        <f t="shared" si="8"/>
        <v/>
      </c>
    </row>
    <row r="44" spans="1:10" ht="12.95" customHeight="1" x14ac:dyDescent="0.25">
      <c r="A44" s="23"/>
      <c r="B44" s="44" t="s">
        <v>53</v>
      </c>
      <c r="C44" s="25">
        <v>498800000</v>
      </c>
      <c r="D44" s="25">
        <v>34595000</v>
      </c>
      <c r="E44" s="25">
        <v>6249000</v>
      </c>
      <c r="F44" s="45">
        <f t="shared" si="6"/>
        <v>-28346000</v>
      </c>
      <c r="G44" s="46">
        <f t="shared" si="7"/>
        <v>-0.81936696054343117</v>
      </c>
      <c r="H44" s="25">
        <v>110414000</v>
      </c>
      <c r="I44" s="25">
        <v>116663000</v>
      </c>
      <c r="J44" s="26">
        <f t="shared" si="8"/>
        <v>0.23388732959101843</v>
      </c>
    </row>
    <row r="48" spans="1:10" x14ac:dyDescent="0.25">
      <c r="B48" s="27" t="s">
        <v>102</v>
      </c>
      <c r="G48" s="27" t="s">
        <v>103</v>
      </c>
    </row>
    <row r="49" spans="2:10" ht="31.5" x14ac:dyDescent="0.25">
      <c r="B49" s="6" t="s">
        <v>55</v>
      </c>
      <c r="C49" s="6" t="s">
        <v>92</v>
      </c>
      <c r="D49" s="6" t="s">
        <v>93</v>
      </c>
      <c r="E49" s="6" t="s">
        <v>104</v>
      </c>
      <c r="G49" s="6" t="s">
        <v>61</v>
      </c>
      <c r="H49" s="6" t="s">
        <v>92</v>
      </c>
      <c r="I49" s="6" t="s">
        <v>93</v>
      </c>
      <c r="J49" s="6" t="s">
        <v>104</v>
      </c>
    </row>
    <row r="50" spans="2:10" x14ac:dyDescent="0.25">
      <c r="B50" s="47" t="s">
        <v>58</v>
      </c>
      <c r="C50" s="48">
        <v>15720000</v>
      </c>
      <c r="D50" s="48">
        <v>0</v>
      </c>
      <c r="E50" s="49">
        <v>-15720000</v>
      </c>
      <c r="G50" s="47" t="s">
        <v>63</v>
      </c>
      <c r="H50" s="48">
        <v>2490000</v>
      </c>
      <c r="I50" s="48">
        <v>170000</v>
      </c>
      <c r="J50" s="49">
        <v>-2320000</v>
      </c>
    </row>
    <row r="51" spans="2:10" x14ac:dyDescent="0.25">
      <c r="B51" s="47" t="s">
        <v>59</v>
      </c>
      <c r="C51" s="48">
        <v>18875000</v>
      </c>
      <c r="D51" s="48">
        <v>6249000</v>
      </c>
      <c r="E51" s="49">
        <v>-12626000</v>
      </c>
      <c r="G51" s="47" t="s">
        <v>64</v>
      </c>
      <c r="H51" s="48">
        <v>5433000</v>
      </c>
      <c r="I51" s="48">
        <v>2269000</v>
      </c>
      <c r="J51" s="49">
        <v>-3164000</v>
      </c>
    </row>
    <row r="52" spans="2:10" x14ac:dyDescent="0.25">
      <c r="B52" s="50" t="s">
        <v>53</v>
      </c>
      <c r="C52" s="51">
        <v>34595000</v>
      </c>
      <c r="D52" s="51">
        <v>6249000</v>
      </c>
      <c r="E52" s="52">
        <v>-28346000</v>
      </c>
      <c r="G52" s="47" t="s">
        <v>65</v>
      </c>
      <c r="H52" s="48">
        <v>19985000</v>
      </c>
      <c r="I52" s="48">
        <v>1461000</v>
      </c>
      <c r="J52" s="49">
        <v>-18524000</v>
      </c>
    </row>
    <row r="53" spans="2:10" x14ac:dyDescent="0.25">
      <c r="G53" s="47" t="s">
        <v>66</v>
      </c>
      <c r="H53" s="48">
        <v>6687000</v>
      </c>
      <c r="I53" s="48">
        <v>2349000</v>
      </c>
      <c r="J53" s="49">
        <v>-4338000</v>
      </c>
    </row>
    <row r="75" spans="2:5" x14ac:dyDescent="0.25">
      <c r="B75" s="27" t="s">
        <v>105</v>
      </c>
    </row>
    <row r="76" spans="2:5" ht="31.5" x14ac:dyDescent="0.25">
      <c r="B76" s="6" t="s">
        <v>106</v>
      </c>
      <c r="C76" s="6" t="s">
        <v>92</v>
      </c>
      <c r="D76" s="6" t="s">
        <v>93</v>
      </c>
      <c r="E76" s="6" t="s">
        <v>104</v>
      </c>
    </row>
    <row r="77" spans="2:5" x14ac:dyDescent="0.25">
      <c r="B77" s="47" t="s">
        <v>107</v>
      </c>
      <c r="C77" s="48">
        <v>34595000</v>
      </c>
      <c r="D77" s="48">
        <v>6249000</v>
      </c>
      <c r="E77" s="49">
        <v>-28346000</v>
      </c>
    </row>
    <row r="78" spans="2:5" x14ac:dyDescent="0.25">
      <c r="B78" s="47" t="s">
        <v>108</v>
      </c>
      <c r="C78" s="48">
        <v>4</v>
      </c>
      <c r="D78" s="48">
        <v>4</v>
      </c>
      <c r="E78" s="49">
        <v>0</v>
      </c>
    </row>
    <row r="79" spans="2:5" x14ac:dyDescent="0.25">
      <c r="B79" s="47" t="s">
        <v>109</v>
      </c>
      <c r="C79" s="48">
        <v>8648750</v>
      </c>
      <c r="D79" s="48">
        <v>1562250</v>
      </c>
      <c r="E79" s="49">
        <v>-7086500</v>
      </c>
    </row>
    <row r="86" spans="2:7" x14ac:dyDescent="0.25">
      <c r="B86" s="27" t="s">
        <v>110</v>
      </c>
    </row>
    <row r="87" spans="2:7" ht="31.5" x14ac:dyDescent="0.25">
      <c r="B87" s="6" t="s">
        <v>68</v>
      </c>
      <c r="C87" s="6" t="s">
        <v>92</v>
      </c>
      <c r="D87" s="6" t="s">
        <v>93</v>
      </c>
      <c r="E87" s="6" t="s">
        <v>104</v>
      </c>
      <c r="F87" s="6" t="s">
        <v>111</v>
      </c>
      <c r="G87" s="6" t="s">
        <v>112</v>
      </c>
    </row>
    <row r="88" spans="2:7" x14ac:dyDescent="0.25">
      <c r="B88" s="47" t="s">
        <v>69</v>
      </c>
      <c r="C88" s="48">
        <v>15720000</v>
      </c>
      <c r="D88" s="48">
        <v>0</v>
      </c>
      <c r="E88" s="49">
        <v>-15720000</v>
      </c>
      <c r="F88" s="48">
        <v>38400000</v>
      </c>
      <c r="G88" s="48">
        <v>38400000</v>
      </c>
    </row>
    <row r="89" spans="2:7" x14ac:dyDescent="0.25">
      <c r="B89" s="47" t="s">
        <v>70</v>
      </c>
      <c r="C89" s="48">
        <v>0</v>
      </c>
      <c r="D89" s="48">
        <v>0</v>
      </c>
      <c r="E89" s="49">
        <v>0</v>
      </c>
      <c r="F89" s="48">
        <v>1920000</v>
      </c>
      <c r="G89" s="48">
        <v>1920000</v>
      </c>
    </row>
    <row r="90" spans="2:7" x14ac:dyDescent="0.25">
      <c r="B90" s="47" t="s">
        <v>71</v>
      </c>
      <c r="C90" s="48">
        <v>2934000</v>
      </c>
      <c r="D90" s="48">
        <v>1301000</v>
      </c>
      <c r="E90" s="49">
        <v>-1633000</v>
      </c>
      <c r="F90" s="48">
        <v>2934000</v>
      </c>
      <c r="G90" s="48">
        <v>4235000</v>
      </c>
    </row>
    <row r="91" spans="2:7" x14ac:dyDescent="0.25">
      <c r="B91" s="47" t="s">
        <v>72</v>
      </c>
      <c r="C91" s="48">
        <v>9262000</v>
      </c>
      <c r="D91" s="48">
        <v>3309000</v>
      </c>
      <c r="E91" s="49">
        <v>-5953000</v>
      </c>
      <c r="F91" s="48">
        <v>45027000</v>
      </c>
      <c r="G91" s="48">
        <v>48336000</v>
      </c>
    </row>
    <row r="92" spans="2:7" x14ac:dyDescent="0.25">
      <c r="B92" s="47" t="s">
        <v>73</v>
      </c>
      <c r="C92" s="48">
        <v>6000000</v>
      </c>
      <c r="D92" s="48">
        <v>1500000</v>
      </c>
      <c r="E92" s="49">
        <v>-4500000</v>
      </c>
      <c r="F92" s="48">
        <v>17750000</v>
      </c>
      <c r="G92" s="48">
        <v>19250000</v>
      </c>
    </row>
    <row r="93" spans="2:7" x14ac:dyDescent="0.25">
      <c r="B93" s="47" t="s">
        <v>74</v>
      </c>
      <c r="C93" s="48">
        <v>154000</v>
      </c>
      <c r="D93" s="48">
        <v>64000</v>
      </c>
      <c r="E93" s="49">
        <v>-90000</v>
      </c>
      <c r="F93" s="48">
        <v>2401000</v>
      </c>
      <c r="G93" s="48">
        <v>2465000</v>
      </c>
    </row>
    <row r="94" spans="2:7" x14ac:dyDescent="0.25">
      <c r="B94" s="47" t="s">
        <v>75</v>
      </c>
      <c r="C94" s="48">
        <v>525000</v>
      </c>
      <c r="D94" s="48">
        <v>75000</v>
      </c>
      <c r="E94" s="49">
        <v>-450000</v>
      </c>
      <c r="F94" s="48">
        <v>975000</v>
      </c>
      <c r="G94" s="48">
        <v>1050000</v>
      </c>
    </row>
    <row r="95" spans="2:7" x14ac:dyDescent="0.25">
      <c r="B95" s="47" t="s">
        <v>76</v>
      </c>
      <c r="C95" s="48">
        <v>0</v>
      </c>
      <c r="D95" s="48">
        <v>0</v>
      </c>
      <c r="E95" s="49">
        <v>0</v>
      </c>
      <c r="F95" s="48">
        <v>1007000</v>
      </c>
      <c r="G95" s="48">
        <v>1007000</v>
      </c>
    </row>
    <row r="116" spans="2:10" x14ac:dyDescent="0.25">
      <c r="B116" s="30" t="s">
        <v>77</v>
      </c>
    </row>
    <row r="117" spans="2:10" ht="29.25" customHeight="1" x14ac:dyDescent="0.25">
      <c r="B117" s="31" t="s">
        <v>113</v>
      </c>
      <c r="C117" s="2"/>
      <c r="D117" s="2"/>
      <c r="E117" s="2"/>
      <c r="F117" s="2"/>
      <c r="G117" s="2"/>
      <c r="H117" s="2"/>
      <c r="I117" s="2"/>
      <c r="J117" s="2"/>
    </row>
    <row r="118" spans="2:10" ht="30.75" customHeight="1" x14ac:dyDescent="0.25">
      <c r="B118" s="31" t="s">
        <v>114</v>
      </c>
      <c r="C118" s="2"/>
      <c r="D118" s="2"/>
      <c r="E118" s="2"/>
      <c r="F118" s="2"/>
      <c r="G118" s="2"/>
      <c r="H118" s="2"/>
      <c r="I118" s="2"/>
      <c r="J118" s="2"/>
    </row>
    <row r="119" spans="2:10" ht="18.75" customHeight="1" x14ac:dyDescent="0.25">
      <c r="B119" s="31" t="s">
        <v>115</v>
      </c>
      <c r="C119" s="2"/>
      <c r="D119" s="2"/>
      <c r="E119" s="2"/>
      <c r="F119" s="2"/>
      <c r="G119" s="2"/>
      <c r="H119" s="2"/>
      <c r="I119" s="2"/>
      <c r="J119" s="2"/>
    </row>
    <row r="120" spans="2:10" ht="30.75" customHeight="1" x14ac:dyDescent="0.25">
      <c r="B120" s="31" t="s">
        <v>116</v>
      </c>
      <c r="C120" s="2"/>
      <c r="D120" s="2"/>
      <c r="E120" s="2"/>
      <c r="F120" s="2"/>
      <c r="G120" s="2"/>
      <c r="H120" s="2"/>
      <c r="I120" s="2"/>
      <c r="J120" s="2"/>
    </row>
    <row r="121" spans="2:10" ht="33" customHeight="1" x14ac:dyDescent="0.25">
      <c r="B121" s="31" t="s">
        <v>117</v>
      </c>
      <c r="C121" s="2"/>
      <c r="D121" s="2"/>
      <c r="E121" s="2"/>
      <c r="F121" s="2"/>
      <c r="G121" s="2"/>
      <c r="H121" s="2"/>
      <c r="I121" s="2"/>
      <c r="J121" s="2"/>
    </row>
  </sheetData>
  <mergeCells count="14">
    <mergeCell ref="A1:J1"/>
    <mergeCell ref="B120:J120"/>
    <mergeCell ref="B117:J117"/>
    <mergeCell ref="B121:J121"/>
    <mergeCell ref="A2:J2"/>
    <mergeCell ref="D6:G6"/>
    <mergeCell ref="A3:J3"/>
    <mergeCell ref="A4:J4"/>
    <mergeCell ref="B118:J118"/>
    <mergeCell ref="C6:C7"/>
    <mergeCell ref="A6:A7"/>
    <mergeCell ref="B119:J119"/>
    <mergeCell ref="B6:B7"/>
    <mergeCell ref="H6:J6"/>
  </mergeCells>
  <printOptions horizontalCentered="1"/>
  <pageMargins left="0.2" right="0.2" top="0.3" bottom="0.3" header="0.15" footer="0.15"/>
  <pageSetup paperSize="9" scale="85" orientation="landscape" r:id="rId1"/>
  <headerFooter>
    <oddFooter>&amp;L&amp;8 Perbandingan Agustus vs 1-21 September 2026&amp;R&amp;8 Halaman &amp;P dari &amp;N</oddFooter>
  </headerFooter>
  <rowBreaks count="2" manualBreakCount="2">
    <brk id="46" max="16383" man="1"/>
    <brk id="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Agustus 2026</vt:lpstr>
      <vt:lpstr>21 September 2026</vt:lpstr>
      <vt:lpstr>Perbandingan Agt vs Sept</vt:lpstr>
      <vt:lpstr>'Perbandingan Agt vs Sept'!Print_Area</vt:lpstr>
      <vt:lpstr>'21 September 2026'!Print_Titles</vt:lpstr>
      <vt:lpstr>'Agustus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 martins</cp:lastModifiedBy>
  <cp:lastPrinted>2026-09-21T07:10:54Z</cp:lastPrinted>
  <dcterms:created xsi:type="dcterms:W3CDTF">2026-09-21T06:03:13Z</dcterms:created>
  <dcterms:modified xsi:type="dcterms:W3CDTF">2026-09-21T07:13:46Z</dcterms:modified>
</cp:coreProperties>
</file>